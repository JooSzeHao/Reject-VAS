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ingkasan Eksekutif" sheetId="1" state="visible" r:id="rId1"/>
    <sheet name="2. Sebab Utama" sheetId="2" state="visible" r:id="rId2"/>
    <sheet name="3. Sub-Sebab Terperinci" sheetId="3" state="visible" r:id="rId3"/>
    <sheet name="4. Jabatan" sheetId="4" state="visible" r:id="rId4"/>
    <sheet name="5. Umur" sheetId="5" state="visible" r:id="rId5"/>
    <sheet name="6. Silang Umur x Sebab" sheetId="6" state="visible" r:id="rId6"/>
    <sheet name="7. Silang Jabatan x Sebab" sheetId="7" state="visible" r:id="rId7"/>
    <sheet name="8. Trend Mingguan" sheetId="8" state="visible" r:id="rId8"/>
    <sheet name="9. Data Bersih" sheetId="9" state="visible" r:id="rId9"/>
    <sheet name="10. Data Asal" sheetId="10" state="visible" r:id="rId10"/>
    <sheet name="11. Log Pembersih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55555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i val="1"/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3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20" customWidth="1" min="4" max="4"/>
  </cols>
  <sheetData>
    <row r="1">
      <c r="A1" s="3" t="inlineStr">
        <is>
          <t>Maklum Balas Pesakit Menolak Perkhidmatan VAS di FKP</t>
        </is>
      </c>
    </row>
    <row r="2">
      <c r="A2" s="4" t="inlineStr">
        <is>
          <t>Tempoh data: 16 Julai 2026 – 13 Ogos 2026  |  Jumlah rekod bersih: 84</t>
        </is>
      </c>
    </row>
    <row r="4">
      <c r="A4" s="5" t="inlineStr">
        <is>
          <t>METRIK UTAMA</t>
        </is>
      </c>
    </row>
    <row r="5">
      <c r="A5" s="6" t="inlineStr">
        <is>
          <t>Jumlah penolakan direkodkan</t>
        </is>
      </c>
      <c r="B5" s="7">
        <f>COUNTA('9. Data Bersih'!D4:D87)</f>
        <v>84</v>
      </c>
    </row>
    <row r="6">
      <c r="A6" s="6" t="inlineStr">
        <is>
          <t>Pesakit hadir sendiri</t>
        </is>
      </c>
      <c r="B6" s="7">
        <f>COUNTIF('9. Data Bersih'!E4:E87,"Pesakit sendiri")</f>
        <v>63</v>
      </c>
    </row>
    <row r="7">
      <c r="A7" s="6" t="inlineStr">
        <is>
          <t>Diwakili waris</t>
        </is>
      </c>
      <c r="B7" s="7">
        <f>COUNTIF('9. Data Bersih'!E4:E87,"Waris")</f>
        <v>21</v>
      </c>
    </row>
    <row r="8">
      <c r="A8" s="6" t="inlineStr">
        <is>
          <t>Pesakit warga emas (&gt;=60 tahun)</t>
        </is>
      </c>
      <c r="B8" s="7">
        <f>COUNTIF('9. Data Bersih'!G4:G87,"Ya")</f>
        <v>50</v>
      </c>
    </row>
    <row r="9">
      <c r="A9" s="6" t="inlineStr">
        <is>
          <t>Peratus warga emas daripada rekod berumur</t>
        </is>
      </c>
      <c r="B9" s="8">
        <f>IFERROR(COUNTIF('9. Data Bersih'!G4:G87,"Ya")/COUNTIF('9. Data Bersih'!G4:G87,"&lt;&gt;Tidak Direkod"),0)</f>
        <v>0.632911</v>
      </c>
    </row>
    <row r="10">
      <c r="A10" s="6" t="inlineStr">
        <is>
          <t>Kategori A — Lebih suka kaedah biasa &amp; ambil sendiri</t>
        </is>
      </c>
      <c r="B10" s="7">
        <f>COUNTIF('9. Data Bersih'!I4:I87,"A")</f>
        <v>68</v>
      </c>
    </row>
    <row r="11">
      <c r="A11" s="6" t="inlineStr">
        <is>
          <t>Kategori B — Bimbang kesilapan ubat &amp; konsultasi</t>
        </is>
      </c>
      <c r="B11" s="7">
        <f>COUNTIF('9. Data Bersih'!I4:I87,"B")</f>
        <v>1</v>
      </c>
    </row>
    <row r="12">
      <c r="A12" s="6" t="inlineStr">
        <is>
          <t>Kategori C — Isu ubat melalui pos (UMP)</t>
        </is>
      </c>
      <c r="B12" s="7">
        <f>COUNTIF('9. Data Bersih'!I4:I87,"C")</f>
        <v>6</v>
      </c>
    </row>
    <row r="13">
      <c r="A13" s="6" t="inlineStr">
        <is>
          <t>Kategori D — Isu farmasi pandu lalu (FPL)</t>
        </is>
      </c>
      <c r="B13" s="7">
        <f>COUNTIF('9. Data Bersih'!I4:I87,"D")</f>
        <v>1</v>
      </c>
    </row>
    <row r="14">
      <c r="A14" s="6" t="inlineStr">
        <is>
          <t>Kategori E — Halangan teknologi &amp; celik digital</t>
        </is>
      </c>
      <c r="B14" s="7">
        <f>COUNTIF('9. Data Bersih'!I4:I87,"E")</f>
        <v>7</v>
      </c>
    </row>
    <row r="15">
      <c r="A15" s="6" t="inlineStr">
        <is>
          <t>Rekod tanpa sebab direkodkan</t>
        </is>
      </c>
      <c r="B15" s="7">
        <f>SUMPRODUCT(--('9. Data Bersih'!I4:I87="-"))</f>
        <v>1</v>
      </c>
    </row>
    <row r="17">
      <c r="A17" s="5" t="inlineStr">
        <is>
          <t>PENEMUAN UTAMA</t>
        </is>
      </c>
    </row>
    <row r="18" ht="30" customHeight="1">
      <c r="A18" s="9" t="inlineStr">
        <is>
          <t>1. Penolakan didorong tabiat, bukan kegagalan sistem — 68 daripada 84 pesakit (81.0%) menolak kerana lebih suka kaedah biasa dan ambil sendiri di kaunter (Kategori A). Hanya 1 rekod menyebut kebimbangan kesilapan ubat (Kategori B).</t>
        </is>
      </c>
    </row>
    <row r="19" ht="30" customHeight="1">
      <c r="A19" s="9" t="inlineStr">
        <is>
          <t>2. Dua pemacu terbesar ialah keselesaan dan kekerapan temujanji — "lebih selesa dengan kaedah biasa di kaunter" disebut 33 kali (39.3% pesakit) dan "kekerapan temujanji hospital / banyak TCA hampir setiap bulan" 27 kali (32.1%). Pesakit yang tetap perlu ke hospital setiap bulan melihat VAS sebagai langkah tambahan, bukan penjimatan.</t>
        </is>
      </c>
    </row>
    <row r="20" ht="30" customHeight="1">
      <c r="A20" s="9" t="inlineStr">
        <is>
          <t>3. Inersia boleh diatasi — 14 pesakit (16.7%) menyatakan "kurang motivasi diri atau enggan mencuba sistem baharu", dan 14 lagi tinggal berdekatan hospital. Kumpulan pertama adalah sasaran paling mudah ditukar melalui pendaftaran berbantu di kaunter.</t>
        </is>
      </c>
    </row>
    <row r="21" ht="30" customHeight="1">
      <c r="A21" s="9" t="inlineStr">
        <is>
          <t>4. Halangan digital tertumpu pada warga emas — 50 daripada 79 pesakit yang direkodkan umur (63.3%) berumur 60 tahun ke atas. Kategori E (7 rekod) didorong oleh ketiadaan telefon pintar (4) dan ketiadaan pelan data (2), bukan keengganan; 5 daripada 7 rekod E berumur 61 tahun ke atas.</t>
        </is>
      </c>
    </row>
    <row r="22" ht="30" customHeight="1">
      <c r="A22" s="9" t="inlineStr">
        <is>
          <t>5. Isu UMP ialah masalah pelaksanaan penghantaran, bukan penolakan konsep — penerima tiada di rumah (3), pengalaman buruk sebelum ini iaitu ubat salah atau tidak mencukupi (2), dan caj kurier (1). Semua 6 rekod ini datang daripada pesakit yang hadir sendiri.</t>
        </is>
      </c>
    </row>
    <row r="23" ht="30" customHeight="1">
      <c r="A23" s="9" t="inlineStr">
        <is>
          <t>6. Tumpuan jabatan — Perubatan (Semua) 21 rekod (25.0%), Orthopedic 14 (16.7%) dan Oftalmologi 12 (14.3%) menyumbang 56% daripada semua penolakan. Intervensi paling berbaloi jika disasarkan di tiga klinik ini dahulu.</t>
        </is>
      </c>
    </row>
    <row r="24" ht="30" customHeight="1">
      <c r="A24" s="9" t="inlineStr">
        <is>
          <t>7. Peranan waris — 21 rekod (25.0%) diwakili waris, dan 18 daripadanya jatuh dalam Kategori A. Waris ialah saluran pendaftaran VAS yang belum digunakan sepenuhnya bagi pesakit tua.</t>
        </is>
      </c>
    </row>
    <row r="25" ht="30" customHeight="1">
      <c r="A25" s="9" t="inlineStr">
        <is>
          <t>8. Kualiti data borang perlu diperbaiki — sebab penolakan ditaip ke dalam ruangan jabatan (1 rekod), ejaan jabatan tidak seragam (cth. Opthal / Ophthalmology / oftamologi), 5 rekod tanpa umur, 2 rekod berumur "0 - 10" yang meragukan, dan 1 rekod tanpa sebab penolakan (lihat Log Pembersihan).</t>
        </is>
      </c>
    </row>
    <row r="27">
      <c r="A27" s="5" t="inlineStr">
        <is>
          <t>CADANGAN TINDAKAN</t>
        </is>
      </c>
    </row>
    <row r="28" ht="30" customHeight="1">
      <c r="A28" s="9" t="inlineStr">
        <is>
          <t>A. Selaraskan bekalan ubat dengan tarikh TCA (cth. bekalan 3-6 bulan / temujanji selari) supaya VAS tidak menjadi perjalanan tambahan bagi pesakit dengan TCA kerap.</t>
        </is>
      </c>
    </row>
    <row r="29" ht="30" customHeight="1">
      <c r="A29" s="9" t="inlineStr">
        <is>
          <t>B. Demonstrasi langsung di kaunter FKP semasa menunggu — daftar MyUbat untuk pesakit di tempat, menyasarkan kumpulan "kurang motivasi / lebih selesa kaedah biasa".</t>
        </is>
      </c>
    </row>
    <row r="30" ht="30" customHeight="1">
      <c r="A30" s="9" t="inlineStr">
        <is>
          <t>C. Laluan tanpa telefon pintar untuk warga emas — pendaftaran VAS oleh waris, atau pesanan melalui talian telefon, kerana halangan sebenar ialah peranti dan bukan keengganan.</t>
        </is>
      </c>
    </row>
    <row r="31" ht="30" customHeight="1">
      <c r="A31" s="9" t="inlineStr">
        <is>
          <t>D. Pulihkan keyakinan terhadap UMP — pengesahan penghantaran, slot masa penghantaran, dan semakan ganda kuantiti sebelum pos bagi menangani pengalaman buruk sebelum ini.</t>
        </is>
      </c>
    </row>
    <row r="32" ht="30" customHeight="1">
      <c r="A32" s="9" t="inlineStr">
        <is>
          <t>E. Semak waktu operasi FPL supaya sepadan dengan waktu kedatangan awal pesakit.</t>
        </is>
      </c>
    </row>
    <row r="33" ht="30" customHeight="1">
      <c r="A33" s="9" t="inlineStr">
        <is>
          <t>F. Perketat borang maklum balas — jadikan umur &amp; jabatan medan wajib dengan senarai pilihan tetap, dan asingkan ruangan "sebab lain" daripada ruangan jabatan.</t>
        </is>
      </c>
    </row>
    <row r="35">
      <c r="A35" s="10" t="inlineStr">
        <is>
          <t>Nota: Semua metrik di atas dikira menggunakan formula terus daripada helaian "9. Data Bersih" — angka akan dikemas kini secara automatik jika data ditambah.</t>
        </is>
      </c>
    </row>
  </sheetData>
  <mergeCells count="15">
    <mergeCell ref="A23:D23"/>
    <mergeCell ref="A18:D18"/>
    <mergeCell ref="A31:D31"/>
    <mergeCell ref="A22:D22"/>
    <mergeCell ref="A35:D35"/>
    <mergeCell ref="A20:D20"/>
    <mergeCell ref="A21:D21"/>
    <mergeCell ref="A30:D30"/>
    <mergeCell ref="A29:D29"/>
    <mergeCell ref="A25:D25"/>
    <mergeCell ref="A24:D24"/>
    <mergeCell ref="A19:D19"/>
    <mergeCell ref="A33:D33"/>
    <mergeCell ref="A28:D28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</cols>
  <sheetData>
    <row r="1">
      <c r="A1" s="11" t="inlineStr">
        <is>
          <t>Sebab Utama Penolakan Perkhidmatan VAS</t>
        </is>
      </c>
    </row>
    <row r="3">
      <c r="A3" s="12" t="inlineStr">
        <is>
          <t>Kategori Sebab Penolakan</t>
        </is>
      </c>
      <c r="B3" s="12" t="inlineStr">
        <is>
          <t>Bilangan</t>
        </is>
      </c>
      <c r="C3" s="12" t="inlineStr">
        <is>
          <t>Peratus (%)</t>
        </is>
      </c>
    </row>
    <row r="4">
      <c r="A4" s="13" t="inlineStr">
        <is>
          <t>A) Lebih Suka Kaedah Biasa &amp; Ambil Sendiri</t>
        </is>
      </c>
      <c r="B4" s="13" t="n">
        <v>68</v>
      </c>
      <c r="C4" s="13" t="n">
        <v>81</v>
      </c>
    </row>
    <row r="5">
      <c r="A5" s="14" t="inlineStr">
        <is>
          <t>E) Halangan Teknologi &amp; Celik Digital</t>
        </is>
      </c>
      <c r="B5" s="14" t="n">
        <v>7</v>
      </c>
      <c r="C5" s="14" t="n">
        <v>8.300000000000001</v>
      </c>
    </row>
    <row r="6">
      <c r="A6" s="13" t="inlineStr">
        <is>
          <t>C) Isu Spesifik Berkaitan Ubat Melalui Pos (UMP)</t>
        </is>
      </c>
      <c r="B6" s="13" t="n">
        <v>6</v>
      </c>
      <c r="C6" s="13" t="n">
        <v>7.1</v>
      </c>
    </row>
    <row r="7">
      <c r="A7" s="14" t="inlineStr">
        <is>
          <t>Tidak Dinyatakan</t>
        </is>
      </c>
      <c r="B7" s="14" t="n">
        <v>1</v>
      </c>
      <c r="C7" s="14" t="n">
        <v>1.2</v>
      </c>
    </row>
    <row r="8">
      <c r="A8" s="13" t="inlineStr">
        <is>
          <t>B) Kebimbangan Terhadap Kesilapan Ubat &amp; Konsultasi</t>
        </is>
      </c>
      <c r="B8" s="13" t="n">
        <v>1</v>
      </c>
      <c r="C8" s="13" t="n">
        <v>1.2</v>
      </c>
    </row>
    <row r="9">
      <c r="A9" s="14" t="inlineStr">
        <is>
          <t>D) Isu Spesifik Berkaitan Farmasi Pandu Lalu (FPL)</t>
        </is>
      </c>
      <c r="B9" s="14" t="n">
        <v>1</v>
      </c>
      <c r="C9" s="14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60" customWidth="1" min="3" max="3"/>
    <col width="16" customWidth="1" min="4" max="4"/>
    <col width="18" customWidth="1" min="5" max="5"/>
  </cols>
  <sheetData>
    <row r="1">
      <c r="A1" s="11" t="inlineStr">
        <is>
          <t>Sub-Sebab Terperinci (jawapan berbilang pilihan dipecahkan)</t>
        </is>
      </c>
    </row>
    <row r="3">
      <c r="A3" s="12" t="inlineStr">
        <is>
          <t>Kod</t>
        </is>
      </c>
      <c r="B3" s="12" t="inlineStr">
        <is>
          <t>Kategori</t>
        </is>
      </c>
      <c r="C3" s="12" t="inlineStr">
        <is>
          <t>Sub-Sebab</t>
        </is>
      </c>
      <c r="D3" s="12" t="inlineStr">
        <is>
          <t>Bilangan Sebutan</t>
        </is>
      </c>
      <c r="E3" s="12" t="inlineStr">
        <is>
          <t>Peratus Pesakit (%)</t>
        </is>
      </c>
    </row>
    <row r="4">
      <c r="A4" s="13" t="inlineStr">
        <is>
          <t>A</t>
        </is>
      </c>
      <c r="B4" s="13" t="inlineStr">
        <is>
          <t>A) Lebih Suka Kaedah Biasa &amp; Ambil Sendiri</t>
        </is>
      </c>
      <c r="C4" s="13" t="inlineStr">
        <is>
          <t>Lebih selesa dengan kaedah biasa di kaunter</t>
        </is>
      </c>
      <c r="D4" s="13" t="n">
        <v>33</v>
      </c>
      <c r="E4" s="13" t="n">
        <v>39.3</v>
      </c>
    </row>
    <row r="5">
      <c r="A5" s="14" t="inlineStr">
        <is>
          <t>A</t>
        </is>
      </c>
      <c r="B5" s="14" t="inlineStr">
        <is>
          <t>A) Lebih Suka Kaedah Biasa &amp; Ambil Sendiri</t>
        </is>
      </c>
      <c r="C5" s="14" t="inlineStr">
        <is>
          <t>Kekerapan temujanji hospital (banyak TCA hampir setiap bulan)</t>
        </is>
      </c>
      <c r="D5" s="14" t="n">
        <v>27</v>
      </c>
      <c r="E5" s="14" t="n">
        <v>32.1</v>
      </c>
    </row>
    <row r="6">
      <c r="A6" s="13" t="inlineStr">
        <is>
          <t>A</t>
        </is>
      </c>
      <c r="B6" s="13" t="inlineStr">
        <is>
          <t>A) Lebih Suka Kaedah Biasa &amp; Ambil Sendiri</t>
        </is>
      </c>
      <c r="C6" s="13" t="inlineStr">
        <is>
          <t>Kurang motivasi diri atau enggan mencuba sistem baharu</t>
        </is>
      </c>
      <c r="D6" s="13" t="n">
        <v>14</v>
      </c>
      <c r="E6" s="13" t="n">
        <v>16.7</v>
      </c>
    </row>
    <row r="7">
      <c r="A7" s="14" t="inlineStr">
        <is>
          <t>A</t>
        </is>
      </c>
      <c r="B7" s="14" t="inlineStr">
        <is>
          <t>A) Lebih Suka Kaedah Biasa &amp; Ambil Sendiri</t>
        </is>
      </c>
      <c r="C7" s="14" t="inlineStr">
        <is>
          <t>Pesakit tinggal berdekatan</t>
        </is>
      </c>
      <c r="D7" s="14" t="n">
        <v>14</v>
      </c>
      <c r="E7" s="14" t="n">
        <v>16.7</v>
      </c>
    </row>
    <row r="8">
      <c r="A8" s="13" t="inlineStr">
        <is>
          <t>E</t>
        </is>
      </c>
      <c r="B8" s="13" t="inlineStr">
        <is>
          <t>E) Halangan Teknologi &amp; Celik Digital</t>
        </is>
      </c>
      <c r="C8" s="13" t="inlineStr">
        <is>
          <t>Pesakit tiada telefon pintar</t>
        </is>
      </c>
      <c r="D8" s="13" t="n">
        <v>4</v>
      </c>
      <c r="E8" s="13" t="n">
        <v>4.8</v>
      </c>
    </row>
    <row r="9">
      <c r="A9" s="14" t="inlineStr">
        <is>
          <t>C</t>
        </is>
      </c>
      <c r="B9" s="14" t="inlineStr">
        <is>
          <t>C) Isu Spesifik Berkaitan Ubat Melalui Pos (UMP)</t>
        </is>
      </c>
      <c r="C9" s="14" t="inlineStr">
        <is>
          <t>Penerima tiada di rumah atau sukar untuk menunggu di rumah</t>
        </is>
      </c>
      <c r="D9" s="14" t="n">
        <v>3</v>
      </c>
      <c r="E9" s="14" t="n">
        <v>3.6</v>
      </c>
    </row>
    <row r="10">
      <c r="A10" s="13" t="inlineStr">
        <is>
          <t>E</t>
        </is>
      </c>
      <c r="B10" s="13" t="inlineStr">
        <is>
          <t>E) Halangan Teknologi &amp; Celik Digital</t>
        </is>
      </c>
      <c r="C10" s="13" t="inlineStr">
        <is>
          <t>Pesakit tiada pelan data mudah alih</t>
        </is>
      </c>
      <c r="D10" s="13" t="n">
        <v>2</v>
      </c>
      <c r="E10" s="13" t="n">
        <v>2.4</v>
      </c>
    </row>
    <row r="11">
      <c r="A11" s="14" t="inlineStr">
        <is>
          <t>C</t>
        </is>
      </c>
      <c r="B11" s="14" t="inlineStr">
        <is>
          <t>C) Isu Spesifik Berkaitan Ubat Melalui Pos (UMP)</t>
        </is>
      </c>
      <c r="C11" s="14" t="inlineStr">
        <is>
          <t>Pengalaman buruk dengan pos sebelum ini (ubat salah atau tidak mencukupi)</t>
        </is>
      </c>
      <c r="D11" s="14" t="n">
        <v>2</v>
      </c>
      <c r="E11" s="14" t="n">
        <v>2.4</v>
      </c>
    </row>
    <row r="12">
      <c r="A12" s="13" t="inlineStr">
        <is>
          <t>A</t>
        </is>
      </c>
      <c r="B12" s="13" t="inlineStr">
        <is>
          <t>A) Lebih Suka Kaedah Biasa &amp; Ambil Sendiri</t>
        </is>
      </c>
      <c r="C12" s="13" t="inlineStr">
        <is>
          <t>Pengambilan oleh Pihak Ketiga &amp; Institusi (Rumah orang tua / Penjara)</t>
        </is>
      </c>
      <c r="D12" s="13" t="n">
        <v>1</v>
      </c>
      <c r="E12" s="13" t="n">
        <v>1.2</v>
      </c>
    </row>
    <row r="13">
      <c r="A13" s="14" t="inlineStr">
        <is>
          <t>B</t>
        </is>
      </c>
      <c r="B13" s="14" t="inlineStr">
        <is>
          <t>B) Kebimbangan Terhadap Kesilapan Ubat &amp; Konsultasi</t>
        </is>
      </c>
      <c r="C13" s="14" t="inlineStr">
        <is>
          <t>Bimbang tentang kesilapan ubat, terutamanya jika terdapat pertukaran jenama</t>
        </is>
      </c>
      <c r="D13" s="14" t="n">
        <v>1</v>
      </c>
      <c r="E13" s="14" t="n">
        <v>1.2</v>
      </c>
    </row>
    <row r="14">
      <c r="A14" s="13" t="inlineStr">
        <is>
          <t>C</t>
        </is>
      </c>
      <c r="B14" s="13" t="inlineStr">
        <is>
          <t>C) Isu Spesifik Berkaitan Ubat Melalui Pos (UMP)</t>
        </is>
      </c>
      <c r="C14" s="13" t="inlineStr">
        <is>
          <t>Enggan atau tidak mampu membayar caj kurier</t>
        </is>
      </c>
      <c r="D14" s="13" t="n">
        <v>1</v>
      </c>
      <c r="E14" s="13" t="n">
        <v>1.2</v>
      </c>
    </row>
    <row r="15">
      <c r="A15" s="14" t="inlineStr">
        <is>
          <t>E</t>
        </is>
      </c>
      <c r="B15" s="14" t="inlineStr">
        <is>
          <t>E) Halangan Teknologi &amp; Celik Digital</t>
        </is>
      </c>
      <c r="C15" s="14" t="inlineStr">
        <is>
          <t>Kesusahan menguasai penggunaan telefon pintar dan apps (eg. golongan OKU, orang tua)</t>
        </is>
      </c>
      <c r="D15" s="14" t="n">
        <v>1</v>
      </c>
      <c r="E15" s="14" t="n">
        <v>1.2</v>
      </c>
    </row>
    <row r="16">
      <c r="A16" s="13" t="inlineStr">
        <is>
          <t>D</t>
        </is>
      </c>
      <c r="B16" s="13" t="inlineStr">
        <is>
          <t>D) Isu Spesifik Berkaitan Farmasi Pandu Lalu (FPL)</t>
        </is>
      </c>
      <c r="C16" s="13" t="inlineStr">
        <is>
          <t>Ketidakpadanan waktu operasi (FPL buka lambat, pesakit datang awal)</t>
        </is>
      </c>
      <c r="D16" s="13" t="n">
        <v>1</v>
      </c>
      <c r="E16" s="13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</cols>
  <sheetData>
    <row r="1">
      <c r="A1" s="11" t="inlineStr">
        <is>
          <t>Penolakan Mengikut Jabatan (nama telah dipiawaikan)</t>
        </is>
      </c>
    </row>
    <row r="3">
      <c r="A3" s="12" t="inlineStr">
        <is>
          <t>Jabatan</t>
        </is>
      </c>
      <c r="B3" s="12" t="inlineStr">
        <is>
          <t>Bilangan</t>
        </is>
      </c>
      <c r="C3" s="12" t="inlineStr">
        <is>
          <t>Peratus (%)</t>
        </is>
      </c>
    </row>
    <row r="4">
      <c r="A4" s="13" t="inlineStr">
        <is>
          <t>Perubatan (Semua)</t>
        </is>
      </c>
      <c r="B4" s="13" t="n">
        <v>21</v>
      </c>
      <c r="C4" s="13" t="n">
        <v>25</v>
      </c>
    </row>
    <row r="5">
      <c r="A5" s="14" t="inlineStr">
        <is>
          <t>Orthopedic</t>
        </is>
      </c>
      <c r="B5" s="14" t="n">
        <v>14</v>
      </c>
      <c r="C5" s="14" t="n">
        <v>16.7</v>
      </c>
    </row>
    <row r="6">
      <c r="A6" s="13" t="inlineStr">
        <is>
          <t>Oftalmologi</t>
        </is>
      </c>
      <c r="B6" s="13" t="n">
        <v>12</v>
      </c>
      <c r="C6" s="13" t="n">
        <v>14.3</v>
      </c>
    </row>
    <row r="7">
      <c r="A7" s="14" t="inlineStr">
        <is>
          <t>Nefrologi</t>
        </is>
      </c>
      <c r="B7" s="14" t="n">
        <v>8</v>
      </c>
      <c r="C7" s="14" t="n">
        <v>9.5</v>
      </c>
    </row>
    <row r="8">
      <c r="A8" s="13" t="inlineStr">
        <is>
          <t>Urologi</t>
        </is>
      </c>
      <c r="B8" s="13" t="n">
        <v>8</v>
      </c>
      <c r="C8" s="13" t="n">
        <v>9.5</v>
      </c>
    </row>
    <row r="9">
      <c r="A9" s="14" t="inlineStr">
        <is>
          <t>ENT</t>
        </is>
      </c>
      <c r="B9" s="14" t="n">
        <v>6</v>
      </c>
      <c r="C9" s="14" t="n">
        <v>7.1</v>
      </c>
    </row>
    <row r="10">
      <c r="A10" s="13" t="inlineStr">
        <is>
          <t>Pulmonari</t>
        </is>
      </c>
      <c r="B10" s="13" t="n">
        <v>4</v>
      </c>
      <c r="C10" s="13" t="n">
        <v>4.8</v>
      </c>
    </row>
    <row r="11">
      <c r="A11" s="14" t="inlineStr">
        <is>
          <t>Psikiatri</t>
        </is>
      </c>
      <c r="B11" s="14" t="n">
        <v>3</v>
      </c>
      <c r="C11" s="14" t="n">
        <v>3.6</v>
      </c>
    </row>
    <row r="12">
      <c r="A12" s="13" t="inlineStr">
        <is>
          <t>Dermatologi</t>
        </is>
      </c>
      <c r="B12" s="13" t="n">
        <v>2</v>
      </c>
      <c r="C12" s="13" t="n">
        <v>2.4</v>
      </c>
    </row>
    <row r="13">
      <c r="A13" s="14" t="inlineStr">
        <is>
          <t>Hepatologi</t>
        </is>
      </c>
      <c r="B13" s="14" t="n">
        <v>2</v>
      </c>
      <c r="C13" s="14" t="n">
        <v>2.4</v>
      </c>
    </row>
    <row r="14">
      <c r="A14" s="13" t="inlineStr">
        <is>
          <t>O&amp;G</t>
        </is>
      </c>
      <c r="B14" s="13" t="n">
        <v>2</v>
      </c>
      <c r="C14" s="13" t="n">
        <v>2.4</v>
      </c>
    </row>
    <row r="15">
      <c r="A15" s="14" t="inlineStr">
        <is>
          <t>Hematologi</t>
        </is>
      </c>
      <c r="B15" s="14" t="n">
        <v>1</v>
      </c>
      <c r="C15" s="14" t="n">
        <v>1.2</v>
      </c>
    </row>
    <row r="16">
      <c r="A16" s="13" t="inlineStr">
        <is>
          <t>Rehabilitasi</t>
        </is>
      </c>
      <c r="B16" s="13" t="n">
        <v>1</v>
      </c>
      <c r="C16" s="13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</cols>
  <sheetData>
    <row r="1">
      <c r="A1" s="11" t="inlineStr">
        <is>
          <t>Profil Umur Pesakit</t>
        </is>
      </c>
    </row>
    <row r="3">
      <c r="A3" s="12" t="inlineStr">
        <is>
          <t>Kumpulan Umur</t>
        </is>
      </c>
      <c r="B3" s="12" t="inlineStr">
        <is>
          <t>Bilangan</t>
        </is>
      </c>
      <c r="C3" s="12" t="inlineStr">
        <is>
          <t>Peratus (%)</t>
        </is>
      </c>
    </row>
    <row r="4">
      <c r="A4" s="13" t="inlineStr">
        <is>
          <t>0 - 10</t>
        </is>
      </c>
      <c r="B4" s="13" t="n">
        <v>2</v>
      </c>
      <c r="C4" s="13" t="n">
        <v>2.4</v>
      </c>
    </row>
    <row r="5">
      <c r="A5" s="14" t="inlineStr">
        <is>
          <t>31 - 40</t>
        </is>
      </c>
      <c r="B5" s="14" t="n">
        <v>2</v>
      </c>
      <c r="C5" s="14" t="n">
        <v>2.4</v>
      </c>
    </row>
    <row r="6">
      <c r="A6" s="13" t="inlineStr">
        <is>
          <t>41 - 50</t>
        </is>
      </c>
      <c r="B6" s="13" t="n">
        <v>5</v>
      </c>
      <c r="C6" s="13" t="n">
        <v>6</v>
      </c>
    </row>
    <row r="7">
      <c r="A7" s="14" t="inlineStr">
        <is>
          <t>51 - 60</t>
        </is>
      </c>
      <c r="B7" s="14" t="n">
        <v>20</v>
      </c>
      <c r="C7" s="14" t="n">
        <v>23.8</v>
      </c>
    </row>
    <row r="8">
      <c r="A8" s="13" t="inlineStr">
        <is>
          <t>61 - 70</t>
        </is>
      </c>
      <c r="B8" s="13" t="n">
        <v>20</v>
      </c>
      <c r="C8" s="13" t="n">
        <v>23.8</v>
      </c>
    </row>
    <row r="9">
      <c r="A9" s="14" t="inlineStr">
        <is>
          <t>71 - 80</t>
        </is>
      </c>
      <c r="B9" s="14" t="n">
        <v>26</v>
      </c>
      <c r="C9" s="14" t="n">
        <v>31</v>
      </c>
    </row>
    <row r="10">
      <c r="A10" s="13" t="inlineStr">
        <is>
          <t>81 - 90</t>
        </is>
      </c>
      <c r="B10" s="13" t="n">
        <v>2</v>
      </c>
      <c r="C10" s="13" t="n">
        <v>2.4</v>
      </c>
    </row>
    <row r="11">
      <c r="A11" s="14" t="inlineStr">
        <is>
          <t>91 - 100</t>
        </is>
      </c>
      <c r="B11" s="14" t="n">
        <v>2</v>
      </c>
      <c r="C11" s="14" t="n">
        <v>2.4</v>
      </c>
    </row>
    <row r="12">
      <c r="A12" s="13" t="inlineStr">
        <is>
          <t>Tidak Direkod</t>
        </is>
      </c>
      <c r="B12" s="13" t="n">
        <v>5</v>
      </c>
      <c r="C12" s="13" t="n">
        <v>6</v>
      </c>
    </row>
    <row r="14">
      <c r="A14" s="11" t="inlineStr">
        <is>
          <t>Status Pesakit Yang Datang</t>
        </is>
      </c>
    </row>
    <row r="16">
      <c r="A16" s="12" t="inlineStr">
        <is>
          <t>Status Pesakit Yang Datang</t>
        </is>
      </c>
      <c r="B16" s="12" t="inlineStr">
        <is>
          <t>Bilangan</t>
        </is>
      </c>
      <c r="C16" s="12" t="inlineStr">
        <is>
          <t>Peratus (%)</t>
        </is>
      </c>
    </row>
    <row r="17">
      <c r="A17" s="13" t="inlineStr">
        <is>
          <t>Pesakit sendiri</t>
        </is>
      </c>
      <c r="B17" s="13" t="n">
        <v>63</v>
      </c>
      <c r="C17" s="13" t="n">
        <v>75</v>
      </c>
    </row>
    <row r="18">
      <c r="A18" s="14" t="inlineStr">
        <is>
          <t>Waris</t>
        </is>
      </c>
      <c r="B18" s="14" t="n">
        <v>21</v>
      </c>
      <c r="C18" s="14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1" t="inlineStr">
        <is>
          <t>Kumpulan Umur lawan Kategori Sebab</t>
        </is>
      </c>
    </row>
    <row r="2"/>
    <row r="3">
      <c r="A3" s="12" t="inlineStr">
        <is>
          <t>Kumpulan Umur</t>
        </is>
      </c>
      <c r="B3" s="12" t="inlineStr">
        <is>
          <t>-</t>
        </is>
      </c>
      <c r="C3" s="12" t="inlineStr">
        <is>
          <t>A</t>
        </is>
      </c>
      <c r="D3" s="12" t="inlineStr">
        <is>
          <t>B</t>
        </is>
      </c>
      <c r="E3" s="12" t="inlineStr">
        <is>
          <t>C</t>
        </is>
      </c>
      <c r="F3" s="12" t="inlineStr">
        <is>
          <t>D</t>
        </is>
      </c>
      <c r="G3" s="12" t="inlineStr">
        <is>
          <t>E</t>
        </is>
      </c>
    </row>
    <row r="4">
      <c r="A4" s="13" t="inlineStr">
        <is>
          <t>0 - 10</t>
        </is>
      </c>
      <c r="B4" s="13" t="n">
        <v>0</v>
      </c>
      <c r="C4" s="13" t="n">
        <v>2</v>
      </c>
      <c r="D4" s="13" t="n">
        <v>0</v>
      </c>
      <c r="E4" s="13" t="n">
        <v>0</v>
      </c>
      <c r="F4" s="13" t="n">
        <v>0</v>
      </c>
      <c r="G4" s="13" t="n">
        <v>0</v>
      </c>
    </row>
    <row r="5">
      <c r="A5" s="14" t="inlineStr">
        <is>
          <t>31 - 40</t>
        </is>
      </c>
      <c r="B5" s="14" t="n">
        <v>0</v>
      </c>
      <c r="C5" s="14" t="n">
        <v>2</v>
      </c>
      <c r="D5" s="14" t="n">
        <v>0</v>
      </c>
      <c r="E5" s="14" t="n">
        <v>0</v>
      </c>
      <c r="F5" s="14" t="n">
        <v>0</v>
      </c>
      <c r="G5" s="14" t="n">
        <v>0</v>
      </c>
    </row>
    <row r="6">
      <c r="A6" s="13" t="inlineStr">
        <is>
          <t>41 - 50</t>
        </is>
      </c>
      <c r="B6" s="13" t="n">
        <v>0</v>
      </c>
      <c r="C6" s="13" t="n">
        <v>4</v>
      </c>
      <c r="D6" s="13" t="n">
        <v>0</v>
      </c>
      <c r="E6" s="13" t="n">
        <v>0</v>
      </c>
      <c r="F6" s="13" t="n">
        <v>0</v>
      </c>
      <c r="G6" s="13" t="n">
        <v>1</v>
      </c>
    </row>
    <row r="7">
      <c r="A7" s="14" t="inlineStr">
        <is>
          <t>51 - 60</t>
        </is>
      </c>
      <c r="B7" s="14" t="n">
        <v>0</v>
      </c>
      <c r="C7" s="14" t="n">
        <v>17</v>
      </c>
      <c r="D7" s="14" t="n">
        <v>0</v>
      </c>
      <c r="E7" s="14" t="n">
        <v>2</v>
      </c>
      <c r="F7" s="14" t="n">
        <v>1</v>
      </c>
      <c r="G7" s="14" t="n">
        <v>0</v>
      </c>
    </row>
    <row r="8">
      <c r="A8" s="13" t="inlineStr">
        <is>
          <t>61 - 70</t>
        </is>
      </c>
      <c r="B8" s="13" t="n">
        <v>0</v>
      </c>
      <c r="C8" s="13" t="n">
        <v>18</v>
      </c>
      <c r="D8" s="13" t="n">
        <v>0</v>
      </c>
      <c r="E8" s="13" t="n">
        <v>1</v>
      </c>
      <c r="F8" s="13" t="n">
        <v>0</v>
      </c>
      <c r="G8" s="13" t="n">
        <v>1</v>
      </c>
    </row>
    <row r="9">
      <c r="A9" s="14" t="inlineStr">
        <is>
          <t>71 - 80</t>
        </is>
      </c>
      <c r="B9" s="14" t="n">
        <v>0</v>
      </c>
      <c r="C9" s="14" t="n">
        <v>19</v>
      </c>
      <c r="D9" s="14" t="n">
        <v>1</v>
      </c>
      <c r="E9" s="14" t="n">
        <v>2</v>
      </c>
      <c r="F9" s="14" t="n">
        <v>0</v>
      </c>
      <c r="G9" s="14" t="n">
        <v>4</v>
      </c>
    </row>
    <row r="10">
      <c r="A10" s="13" t="inlineStr">
        <is>
          <t>81 - 90</t>
        </is>
      </c>
      <c r="B10" s="13" t="n">
        <v>0</v>
      </c>
      <c r="C10" s="13" t="n">
        <v>2</v>
      </c>
      <c r="D10" s="13" t="n">
        <v>0</v>
      </c>
      <c r="E10" s="13" t="n">
        <v>0</v>
      </c>
      <c r="F10" s="13" t="n">
        <v>0</v>
      </c>
      <c r="G10" s="13" t="n">
        <v>0</v>
      </c>
    </row>
    <row r="11">
      <c r="A11" s="14" t="inlineStr">
        <is>
          <t>91 - 100</t>
        </is>
      </c>
      <c r="B11" s="14" t="n">
        <v>0</v>
      </c>
      <c r="C11" s="14" t="n">
        <v>2</v>
      </c>
      <c r="D11" s="14" t="n">
        <v>0</v>
      </c>
      <c r="E11" s="14" t="n">
        <v>0</v>
      </c>
      <c r="F11" s="14" t="n">
        <v>0</v>
      </c>
      <c r="G11" s="14" t="n">
        <v>0</v>
      </c>
    </row>
    <row r="12">
      <c r="A12" s="13" t="inlineStr">
        <is>
          <t>Tidak Direkod</t>
        </is>
      </c>
      <c r="B12" s="13" t="n">
        <v>1</v>
      </c>
      <c r="C12" s="13" t="n">
        <v>2</v>
      </c>
      <c r="D12" s="13" t="n">
        <v>0</v>
      </c>
      <c r="E12" s="13" t="n">
        <v>1</v>
      </c>
      <c r="F12" s="13" t="n">
        <v>0</v>
      </c>
      <c r="G12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1" t="inlineStr">
        <is>
          <t>Jabatan lawan Kategori Sebab</t>
        </is>
      </c>
    </row>
    <row r="2"/>
    <row r="3">
      <c r="A3" s="12" t="inlineStr">
        <is>
          <t>Jabatan (Bersih)</t>
        </is>
      </c>
      <c r="B3" s="12" t="inlineStr">
        <is>
          <t>-</t>
        </is>
      </c>
      <c r="C3" s="12" t="inlineStr">
        <is>
          <t>A</t>
        </is>
      </c>
      <c r="D3" s="12" t="inlineStr">
        <is>
          <t>B</t>
        </is>
      </c>
      <c r="E3" s="12" t="inlineStr">
        <is>
          <t>C</t>
        </is>
      </c>
      <c r="F3" s="12" t="inlineStr">
        <is>
          <t>D</t>
        </is>
      </c>
      <c r="G3" s="12" t="inlineStr">
        <is>
          <t>E</t>
        </is>
      </c>
      <c r="H3" s="12" t="inlineStr">
        <is>
          <t>Jumlah</t>
        </is>
      </c>
    </row>
    <row r="4">
      <c r="A4" s="13" t="inlineStr">
        <is>
          <t>Perubatan (Semua)</t>
        </is>
      </c>
      <c r="B4" s="13" t="n">
        <v>0</v>
      </c>
      <c r="C4" s="13" t="n">
        <v>18</v>
      </c>
      <c r="D4" s="13" t="n">
        <v>0</v>
      </c>
      <c r="E4" s="13" t="n">
        <v>1</v>
      </c>
      <c r="F4" s="13" t="n">
        <v>1</v>
      </c>
      <c r="G4" s="13" t="n">
        <v>1</v>
      </c>
      <c r="H4" s="13" t="n">
        <v>21</v>
      </c>
    </row>
    <row r="5">
      <c r="A5" s="14" t="inlineStr">
        <is>
          <t>Orthopedic</t>
        </is>
      </c>
      <c r="B5" s="14" t="n">
        <v>1</v>
      </c>
      <c r="C5" s="14" t="n">
        <v>9</v>
      </c>
      <c r="D5" s="14" t="n">
        <v>0</v>
      </c>
      <c r="E5" s="14" t="n">
        <v>3</v>
      </c>
      <c r="F5" s="14" t="n">
        <v>0</v>
      </c>
      <c r="G5" s="14" t="n">
        <v>1</v>
      </c>
      <c r="H5" s="14" t="n">
        <v>14</v>
      </c>
    </row>
    <row r="6">
      <c r="A6" s="13" t="inlineStr">
        <is>
          <t>Oftalmologi</t>
        </is>
      </c>
      <c r="B6" s="13" t="n">
        <v>0</v>
      </c>
      <c r="C6" s="13" t="n">
        <v>11</v>
      </c>
      <c r="D6" s="13" t="n">
        <v>1</v>
      </c>
      <c r="E6" s="13" t="n">
        <v>0</v>
      </c>
      <c r="F6" s="13" t="n">
        <v>0</v>
      </c>
      <c r="G6" s="13" t="n">
        <v>0</v>
      </c>
      <c r="H6" s="13" t="n">
        <v>12</v>
      </c>
    </row>
    <row r="7">
      <c r="A7" s="14" t="inlineStr">
        <is>
          <t>Urologi</t>
        </is>
      </c>
      <c r="B7" s="14" t="n">
        <v>0</v>
      </c>
      <c r="C7" s="14" t="n">
        <v>6</v>
      </c>
      <c r="D7" s="14" t="n">
        <v>0</v>
      </c>
      <c r="E7" s="14" t="n">
        <v>2</v>
      </c>
      <c r="F7" s="14" t="n">
        <v>0</v>
      </c>
      <c r="G7" s="14" t="n">
        <v>0</v>
      </c>
      <c r="H7" s="14" t="n">
        <v>8</v>
      </c>
    </row>
    <row r="8">
      <c r="A8" s="13" t="inlineStr">
        <is>
          <t>Nefrologi</t>
        </is>
      </c>
      <c r="B8" s="13" t="n">
        <v>0</v>
      </c>
      <c r="C8" s="13" t="n">
        <v>7</v>
      </c>
      <c r="D8" s="13" t="n">
        <v>0</v>
      </c>
      <c r="E8" s="13" t="n">
        <v>0</v>
      </c>
      <c r="F8" s="13" t="n">
        <v>0</v>
      </c>
      <c r="G8" s="13" t="n">
        <v>1</v>
      </c>
      <c r="H8" s="13" t="n">
        <v>8</v>
      </c>
    </row>
    <row r="9">
      <c r="A9" s="14" t="inlineStr">
        <is>
          <t>ENT</t>
        </is>
      </c>
      <c r="B9" s="14" t="n">
        <v>0</v>
      </c>
      <c r="C9" s="14" t="n">
        <v>5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6</v>
      </c>
    </row>
    <row r="10">
      <c r="A10" s="13" t="inlineStr">
        <is>
          <t>Pulmonari</t>
        </is>
      </c>
      <c r="B10" s="13" t="n">
        <v>0</v>
      </c>
      <c r="C10" s="13" t="n">
        <v>3</v>
      </c>
      <c r="D10" s="13" t="n">
        <v>0</v>
      </c>
      <c r="E10" s="13" t="n">
        <v>0</v>
      </c>
      <c r="F10" s="13" t="n">
        <v>0</v>
      </c>
      <c r="G10" s="13" t="n">
        <v>1</v>
      </c>
      <c r="H10" s="13" t="n">
        <v>4</v>
      </c>
    </row>
    <row r="11">
      <c r="A11" s="14" t="inlineStr">
        <is>
          <t>Psikiatri</t>
        </is>
      </c>
      <c r="B11" s="14" t="n">
        <v>0</v>
      </c>
      <c r="C11" s="14" t="n">
        <v>2</v>
      </c>
      <c r="D11" s="14" t="n">
        <v>0</v>
      </c>
      <c r="E11" s="14" t="n">
        <v>0</v>
      </c>
      <c r="F11" s="14" t="n">
        <v>0</v>
      </c>
      <c r="G11" s="14" t="n">
        <v>1</v>
      </c>
      <c r="H11" s="14" t="n">
        <v>3</v>
      </c>
    </row>
    <row r="12">
      <c r="A12" s="13" t="inlineStr">
        <is>
          <t>Dermatologi</t>
        </is>
      </c>
      <c r="B12" s="13" t="n">
        <v>0</v>
      </c>
      <c r="C12" s="13" t="n">
        <v>2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2</v>
      </c>
    </row>
    <row r="13">
      <c r="A13" s="14" t="inlineStr">
        <is>
          <t>O&amp;G</t>
        </is>
      </c>
      <c r="B13" s="14" t="n">
        <v>0</v>
      </c>
      <c r="C13" s="14" t="n">
        <v>1</v>
      </c>
      <c r="D13" s="14" t="n">
        <v>0</v>
      </c>
      <c r="E13" s="14" t="n">
        <v>0</v>
      </c>
      <c r="F13" s="14" t="n">
        <v>0</v>
      </c>
      <c r="G13" s="14" t="n">
        <v>1</v>
      </c>
      <c r="H13" s="14" t="n">
        <v>2</v>
      </c>
    </row>
    <row r="14">
      <c r="A14" s="13" t="inlineStr">
        <is>
          <t>Hepatologi</t>
        </is>
      </c>
      <c r="B14" s="13" t="n">
        <v>0</v>
      </c>
      <c r="C14" s="13" t="n">
        <v>2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2</v>
      </c>
    </row>
    <row r="15">
      <c r="A15" s="14" t="inlineStr">
        <is>
          <t>Hematologi</t>
        </is>
      </c>
      <c r="B15" s="14" t="n">
        <v>0</v>
      </c>
      <c r="C15" s="14" t="n">
        <v>1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1</v>
      </c>
    </row>
    <row r="16">
      <c r="A16" s="13" t="inlineStr">
        <is>
          <t>Rehabilitasi</t>
        </is>
      </c>
      <c r="B16" s="13" t="n">
        <v>0</v>
      </c>
      <c r="C16" s="13" t="n">
        <v>1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1</v>
      </c>
    </row>
    <row r="17"/>
    <row r="18">
      <c r="A18" s="11" t="inlineStr">
        <is>
          <t>Status Pesakit lawan Kategori Sebab</t>
        </is>
      </c>
    </row>
    <row r="19"/>
    <row r="20">
      <c r="A20" s="12" t="inlineStr">
        <is>
          <t>Status Pesakit Yang Datang</t>
        </is>
      </c>
      <c r="B20" s="12" t="inlineStr">
        <is>
          <t>-</t>
        </is>
      </c>
      <c r="C20" s="12" t="inlineStr">
        <is>
          <t>A</t>
        </is>
      </c>
      <c r="D20" s="12" t="inlineStr">
        <is>
          <t>B</t>
        </is>
      </c>
      <c r="E20" s="12" t="inlineStr">
        <is>
          <t>C</t>
        </is>
      </c>
      <c r="F20" s="12" t="inlineStr">
        <is>
          <t>D</t>
        </is>
      </c>
      <c r="G20" s="12" t="inlineStr">
        <is>
          <t>E</t>
        </is>
      </c>
    </row>
    <row r="21">
      <c r="A21" s="13" t="inlineStr">
        <is>
          <t>Pesakit sendiri</t>
        </is>
      </c>
      <c r="B21" s="13" t="n">
        <v>0</v>
      </c>
      <c r="C21" s="13" t="n">
        <v>50</v>
      </c>
      <c r="D21" s="13" t="n">
        <v>1</v>
      </c>
      <c r="E21" s="13" t="n">
        <v>6</v>
      </c>
      <c r="F21" s="13" t="n">
        <v>0</v>
      </c>
      <c r="G21" s="13" t="n">
        <v>6</v>
      </c>
    </row>
    <row r="22">
      <c r="A22" s="14" t="inlineStr">
        <is>
          <t>Waris</t>
        </is>
      </c>
      <c r="B22" s="14" t="n">
        <v>1</v>
      </c>
      <c r="C22" s="14" t="n">
        <v>18</v>
      </c>
      <c r="D22" s="14" t="n">
        <v>0</v>
      </c>
      <c r="E22" s="14" t="n">
        <v>0</v>
      </c>
      <c r="F22" s="14" t="n">
        <v>1</v>
      </c>
      <c r="G22" s="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1" t="inlineStr">
        <is>
          <t>Trend Penolakan Mingguan</t>
        </is>
      </c>
    </row>
    <row r="3">
      <c r="A3" s="12" t="inlineStr">
        <is>
          <t>Minggu Bermula</t>
        </is>
      </c>
      <c r="B3" s="12" t="inlineStr">
        <is>
          <t>Bilangan Penolakan</t>
        </is>
      </c>
    </row>
    <row r="4">
      <c r="A4" s="15" t="n">
        <v>46216</v>
      </c>
      <c r="B4" s="13" t="n">
        <v>14</v>
      </c>
    </row>
    <row r="5">
      <c r="A5" s="16" t="n">
        <v>46223</v>
      </c>
      <c r="B5" s="14" t="n">
        <v>26</v>
      </c>
    </row>
    <row r="6">
      <c r="A6" s="15" t="n">
        <v>46230</v>
      </c>
      <c r="B6" s="13" t="n">
        <v>8</v>
      </c>
    </row>
    <row r="7">
      <c r="A7" s="16" t="n">
        <v>46237</v>
      </c>
      <c r="B7" s="14" t="n">
        <v>22</v>
      </c>
    </row>
    <row r="8">
      <c r="A8" s="15" t="n">
        <v>46244</v>
      </c>
      <c r="B8" s="13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17" customWidth="1" min="4" max="4"/>
    <col width="28" customWidth="1" min="5" max="5"/>
    <col width="15" customWidth="1" min="6" max="6"/>
    <col width="19" customWidth="1" min="7" max="7"/>
    <col width="19" customWidth="1" min="8" max="8"/>
    <col width="14" customWidth="1" min="9" max="9"/>
    <col width="40" customWidth="1" min="10" max="10"/>
    <col width="40" customWidth="1" min="11" max="11"/>
    <col width="20" customWidth="1" min="12" max="12"/>
    <col width="40" customWidth="1" min="13" max="13"/>
    <col width="40" customWidth="1" min="14" max="14"/>
  </cols>
  <sheetData>
    <row r="1">
      <c r="A1" s="11" t="inlineStr">
        <is>
          <t>Data Bersih Siap Analisis (84 rekod)</t>
        </is>
      </c>
    </row>
    <row r="2"/>
    <row r="3">
      <c r="A3" s="12" t="inlineStr">
        <is>
          <t>Timestamp</t>
        </is>
      </c>
      <c r="B3" s="12" t="inlineStr">
        <is>
          <t>Tarikh</t>
        </is>
      </c>
      <c r="C3" s="12" t="inlineStr">
        <is>
          <t>Minggu Bermula</t>
        </is>
      </c>
      <c r="D3" s="12" t="inlineStr">
        <is>
          <t>ID Pesakit (SD)</t>
        </is>
      </c>
      <c r="E3" s="12" t="inlineStr">
        <is>
          <t>Status Pesakit Yang Datang</t>
        </is>
      </c>
      <c r="F3" s="12" t="inlineStr">
        <is>
          <t>Umur Pesakit</t>
        </is>
      </c>
      <c r="G3" s="12" t="inlineStr">
        <is>
          <t>Warga Emas (&gt;=60)</t>
        </is>
      </c>
      <c r="H3" s="12" t="inlineStr">
        <is>
          <t>Jabatan (Bersih)</t>
        </is>
      </c>
      <c r="I3" s="12" t="inlineStr">
        <is>
          <t>Kod Kategori</t>
        </is>
      </c>
      <c r="J3" s="12" t="inlineStr">
        <is>
          <t>Kategori Sebab Penolakan</t>
        </is>
      </c>
      <c r="K3" s="12" t="inlineStr">
        <is>
          <t>Sub-Sebab (digabung)</t>
        </is>
      </c>
      <c r="L3" s="12" t="inlineStr">
        <is>
          <t>Bilangan Sub-Sebab</t>
        </is>
      </c>
      <c r="M3" s="12" t="inlineStr">
        <is>
          <t>Nota Jabatan</t>
        </is>
      </c>
      <c r="N3" s="12" t="inlineStr">
        <is>
          <t>Nota Pembersihan</t>
        </is>
      </c>
    </row>
    <row r="4">
      <c r="A4" s="17" t="n">
        <v>46219.40965927083</v>
      </c>
      <c r="B4" s="15" t="n">
        <v>46219</v>
      </c>
      <c r="C4" s="15" t="n">
        <v>46216</v>
      </c>
      <c r="D4" s="13" t="inlineStr">
        <is>
          <t>SD12456</t>
        </is>
      </c>
      <c r="E4" s="13" t="inlineStr">
        <is>
          <t>Pesakit sendiri</t>
        </is>
      </c>
      <c r="F4" s="13" t="inlineStr">
        <is>
          <t>Tidak Direkod</t>
        </is>
      </c>
      <c r="G4" s="13" t="inlineStr">
        <is>
          <t>Tidak Direkod</t>
        </is>
      </c>
      <c r="H4" s="13" t="inlineStr">
        <is>
          <t>Nefrologi</t>
        </is>
      </c>
      <c r="I4" s="13" t="inlineStr">
        <is>
          <t>A</t>
        </is>
      </c>
      <c r="J4" s="13" t="inlineStr">
        <is>
          <t>A) Lebih Suka Kaedah Biasa &amp; Ambil Sendiri</t>
        </is>
      </c>
      <c r="K4" s="13" t="inlineStr">
        <is>
          <t>Pesakit tinggal berdekatan | Kekerapan temujanji hospital (banyak TCA hampir setiap bulan)</t>
        </is>
      </c>
      <c r="L4" s="13" t="n">
        <v>2</v>
      </c>
      <c r="M4" s="13" t="inlineStr"/>
      <c r="N4" s="13" t="inlineStr">
        <is>
          <t>Label tanpa prefiks dibetulkan (asal: "Lebih Suka Kaedah Biasa &amp; Ambil Sendiri")</t>
        </is>
      </c>
    </row>
    <row r="5">
      <c r="A5" s="18" t="n">
        <v>46219.41642604167</v>
      </c>
      <c r="B5" s="16" t="n">
        <v>46219</v>
      </c>
      <c r="C5" s="16" t="n">
        <v>46216</v>
      </c>
      <c r="D5" s="14" t="inlineStr">
        <is>
          <t>SD12122</t>
        </is>
      </c>
      <c r="E5" s="14" t="inlineStr">
        <is>
          <t>Pesakit sendiri</t>
        </is>
      </c>
      <c r="F5" s="14" t="inlineStr">
        <is>
          <t>0 - 10</t>
        </is>
      </c>
      <c r="G5" s="14" t="inlineStr">
        <is>
          <t>Tidak</t>
        </is>
      </c>
      <c r="H5" s="14" t="inlineStr">
        <is>
          <t>Pulmonari</t>
        </is>
      </c>
      <c r="I5" s="14" t="inlineStr">
        <is>
          <t>A</t>
        </is>
      </c>
      <c r="J5" s="14" t="inlineStr">
        <is>
          <t>A) Lebih Suka Kaedah Biasa &amp; Ambil Sendiri</t>
        </is>
      </c>
      <c r="K5" s="14" t="inlineStr">
        <is>
          <t>Pesakit tinggal berdekatan | Kekerapan temujanji hospital (banyak TCA hampir setiap bulan)</t>
        </is>
      </c>
      <c r="L5" s="14" t="n">
        <v>2</v>
      </c>
      <c r="M5" s="14" t="inlineStr"/>
      <c r="N5" s="14" t="inlineStr"/>
    </row>
    <row r="6">
      <c r="A6" s="17" t="n">
        <v>46219.42868055555</v>
      </c>
      <c r="B6" s="15" t="n">
        <v>46219</v>
      </c>
      <c r="C6" s="15" t="n">
        <v>46216</v>
      </c>
      <c r="D6" s="13" t="inlineStr">
        <is>
          <t>SD00037834</t>
        </is>
      </c>
      <c r="E6" s="13" t="inlineStr">
        <is>
          <t>Pesakit sendiri</t>
        </is>
      </c>
      <c r="F6" s="13" t="inlineStr">
        <is>
          <t>71 - 80</t>
        </is>
      </c>
      <c r="G6" s="13" t="inlineStr">
        <is>
          <t>Ya</t>
        </is>
      </c>
      <c r="H6" s="13" t="inlineStr">
        <is>
          <t>Perubatan (Semua)</t>
        </is>
      </c>
      <c r="I6" s="13" t="inlineStr">
        <is>
          <t>A</t>
        </is>
      </c>
      <c r="J6" s="13" t="inlineStr">
        <is>
          <t>A) Lebih Suka Kaedah Biasa &amp; Ambil Sendiri</t>
        </is>
      </c>
      <c r="K6" s="13" t="inlineStr">
        <is>
          <t>Pesakit tinggal berdekatan | Kekerapan temujanji hospital (banyak TCA hampir setiap bulan) | Lebih selesa dengan kaedah biasa di kaunter</t>
        </is>
      </c>
      <c r="L6" s="13" t="n">
        <v>3</v>
      </c>
      <c r="M6" s="13" t="inlineStr">
        <is>
          <t>Teks bebas menyebut jabatan lain: Orthopedic, Kardiologi</t>
        </is>
      </c>
      <c r="N6" s="13" t="inlineStr"/>
    </row>
    <row r="7">
      <c r="A7" s="18" t="n">
        <v>46219.48789740741</v>
      </c>
      <c r="B7" s="16" t="n">
        <v>46219</v>
      </c>
      <c r="C7" s="16" t="n">
        <v>46216</v>
      </c>
      <c r="D7" s="14" t="inlineStr">
        <is>
          <t>SD00060182</t>
        </is>
      </c>
      <c r="E7" s="14" t="inlineStr">
        <is>
          <t>Waris</t>
        </is>
      </c>
      <c r="F7" s="14" t="inlineStr">
        <is>
          <t>Tidak Direkod</t>
        </is>
      </c>
      <c r="G7" s="14" t="inlineStr">
        <is>
          <t>Tidak Direkod</t>
        </is>
      </c>
      <c r="H7" s="14" t="inlineStr">
        <is>
          <t>Orthopedic</t>
        </is>
      </c>
      <c r="I7" s="14" t="inlineStr">
        <is>
          <t>-</t>
        </is>
      </c>
      <c r="J7" s="14" t="inlineStr">
        <is>
          <t>Tidak Dinyatakan</t>
        </is>
      </c>
      <c r="K7" s="14" t="inlineStr"/>
      <c r="L7" s="14" t="n">
        <v>0</v>
      </c>
      <c r="M7" s="14" t="inlineStr"/>
      <c r="N7" s="14" t="inlineStr">
        <is>
          <t>Sebab penolakan tidak direkodkan</t>
        </is>
      </c>
    </row>
    <row r="8">
      <c r="A8" s="17" t="n">
        <v>46219.5211774537</v>
      </c>
      <c r="B8" s="15" t="n">
        <v>46219</v>
      </c>
      <c r="C8" s="15" t="n">
        <v>46216</v>
      </c>
      <c r="D8" s="13" t="inlineStr">
        <is>
          <t>SD00458309</t>
        </is>
      </c>
      <c r="E8" s="13" t="inlineStr">
        <is>
          <t>Pesakit sendiri</t>
        </is>
      </c>
      <c r="F8" s="13" t="inlineStr">
        <is>
          <t>71 - 80</t>
        </is>
      </c>
      <c r="G8" s="13" t="inlineStr">
        <is>
          <t>Ya</t>
        </is>
      </c>
      <c r="H8" s="13" t="inlineStr">
        <is>
          <t>Orthopedic</t>
        </is>
      </c>
      <c r="I8" s="13" t="inlineStr">
        <is>
          <t>E</t>
        </is>
      </c>
      <c r="J8" s="13" t="inlineStr">
        <is>
          <t>E) Halangan Teknologi &amp; Celik Digital</t>
        </is>
      </c>
      <c r="K8" s="13" t="inlineStr"/>
      <c r="L8" s="13" t="n">
        <v>0</v>
      </c>
      <c r="M8" s="13" t="inlineStr">
        <is>
          <t>Teks bebas bukan nama jabatan: "Pemastautin tetap (IC) merah tidak dapat guna MyUbat"</t>
        </is>
      </c>
      <c r="N8" s="13" t="inlineStr">
        <is>
          <t>Teks bebas jabatan sebenarnya sebab penolakan: "Pemastautin tetap (IC) merah tidak dapat guna MyUbat"</t>
        </is>
      </c>
    </row>
    <row r="9">
      <c r="A9" s="18" t="n">
        <v>46219.594240625</v>
      </c>
      <c r="B9" s="16" t="n">
        <v>46219</v>
      </c>
      <c r="C9" s="16" t="n">
        <v>46216</v>
      </c>
      <c r="D9" s="14" t="inlineStr">
        <is>
          <t>SD00545511</t>
        </is>
      </c>
      <c r="E9" s="14" t="inlineStr">
        <is>
          <t>Waris</t>
        </is>
      </c>
      <c r="F9" s="14" t="inlineStr">
        <is>
          <t>61 - 70</t>
        </is>
      </c>
      <c r="G9" s="14" t="inlineStr">
        <is>
          <t>Ya</t>
        </is>
      </c>
      <c r="H9" s="14" t="inlineStr">
        <is>
          <t>Psikiatri</t>
        </is>
      </c>
      <c r="I9" s="14" t="inlineStr">
        <is>
          <t>E</t>
        </is>
      </c>
      <c r="J9" s="14" t="inlineStr">
        <is>
          <t>E) Halangan Teknologi &amp; Celik Digital</t>
        </is>
      </c>
      <c r="K9" s="14" t="inlineStr">
        <is>
          <t>Pesakit tiada telefon pintar</t>
        </is>
      </c>
      <c r="L9" s="14" t="n">
        <v>1</v>
      </c>
      <c r="M9" s="14" t="inlineStr"/>
      <c r="N9" s="14" t="inlineStr"/>
    </row>
    <row r="10">
      <c r="A10" s="17" t="n">
        <v>46219.62071479166</v>
      </c>
      <c r="B10" s="15" t="n">
        <v>46219</v>
      </c>
      <c r="C10" s="15" t="n">
        <v>46216</v>
      </c>
      <c r="D10" s="13" t="inlineStr">
        <is>
          <t>SD00383515</t>
        </is>
      </c>
      <c r="E10" s="13" t="inlineStr">
        <is>
          <t>Pesakit sendiri</t>
        </is>
      </c>
      <c r="F10" s="13" t="inlineStr">
        <is>
          <t>61 - 70</t>
        </is>
      </c>
      <c r="G10" s="13" t="inlineStr">
        <is>
          <t>Ya</t>
        </is>
      </c>
      <c r="H10" s="13" t="inlineStr">
        <is>
          <t>Oftalmologi</t>
        </is>
      </c>
      <c r="I10" s="13" t="inlineStr">
        <is>
          <t>A</t>
        </is>
      </c>
      <c r="J10" s="13" t="inlineStr">
        <is>
          <t>A) Lebih Suka Kaedah Biasa &amp; Ambil Sendiri</t>
        </is>
      </c>
      <c r="K10" s="13" t="inlineStr">
        <is>
          <t>Lebih selesa dengan kaedah biasa di kaunter</t>
        </is>
      </c>
      <c r="L10" s="13" t="n">
        <v>1</v>
      </c>
      <c r="M10" s="13" t="inlineStr"/>
      <c r="N10" s="13" t="inlineStr"/>
    </row>
    <row r="11">
      <c r="A11" s="18" t="n">
        <v>46219.63369045139</v>
      </c>
      <c r="B11" s="16" t="n">
        <v>46219</v>
      </c>
      <c r="C11" s="16" t="n">
        <v>46216</v>
      </c>
      <c r="D11" s="14" t="inlineStr">
        <is>
          <t>SD01528876</t>
        </is>
      </c>
      <c r="E11" s="14" t="inlineStr">
        <is>
          <t>Pesakit sendiri</t>
        </is>
      </c>
      <c r="F11" s="14" t="inlineStr">
        <is>
          <t>71 - 80</t>
        </is>
      </c>
      <c r="G11" s="14" t="inlineStr">
        <is>
          <t>Ya</t>
        </is>
      </c>
      <c r="H11" s="14" t="inlineStr">
        <is>
          <t>Perubatan (Semua)</t>
        </is>
      </c>
      <c r="I11" s="14" t="inlineStr">
        <is>
          <t>A</t>
        </is>
      </c>
      <c r="J11" s="14" t="inlineStr">
        <is>
          <t>A) Lebih Suka Kaedah Biasa &amp; Ambil Sendiri</t>
        </is>
      </c>
      <c r="K11" s="14" t="inlineStr">
        <is>
          <t>Lebih selesa dengan kaedah biasa di kaunter</t>
        </is>
      </c>
      <c r="L11" s="14" t="n">
        <v>1</v>
      </c>
      <c r="M11" s="14" t="inlineStr"/>
      <c r="N11" s="14" t="inlineStr"/>
    </row>
    <row r="12">
      <c r="A12" s="17" t="n">
        <v>46219.64494118056</v>
      </c>
      <c r="B12" s="15" t="n">
        <v>46219</v>
      </c>
      <c r="C12" s="15" t="n">
        <v>46216</v>
      </c>
      <c r="D12" s="13" t="inlineStr">
        <is>
          <t>SD00142483</t>
        </is>
      </c>
      <c r="E12" s="13" t="inlineStr">
        <is>
          <t>Pesakit sendiri</t>
        </is>
      </c>
      <c r="F12" s="13" t="inlineStr">
        <is>
          <t>71 - 80</t>
        </is>
      </c>
      <c r="G12" s="13" t="inlineStr">
        <is>
          <t>Ya</t>
        </is>
      </c>
      <c r="H12" s="13" t="inlineStr">
        <is>
          <t>Oftalmologi</t>
        </is>
      </c>
      <c r="I12" s="13" t="inlineStr">
        <is>
          <t>B</t>
        </is>
      </c>
      <c r="J12" s="13" t="inlineStr">
        <is>
          <t>B) Kebimbangan Terhadap Kesilapan Ubat &amp; Konsultasi</t>
        </is>
      </c>
      <c r="K12" s="13" t="inlineStr">
        <is>
          <t>Bimbang tentang kesilapan ubat, terutamanya jika terdapat pertukaran jenama</t>
        </is>
      </c>
      <c r="L12" s="13" t="n">
        <v>1</v>
      </c>
      <c r="M12" s="13" t="inlineStr"/>
      <c r="N12" s="13" t="inlineStr"/>
    </row>
    <row r="13">
      <c r="A13" s="18" t="n">
        <v>46220.41404217593</v>
      </c>
      <c r="B13" s="16" t="n">
        <v>46220</v>
      </c>
      <c r="C13" s="16" t="n">
        <v>46216</v>
      </c>
      <c r="D13" s="14" t="inlineStr">
        <is>
          <t>SD01414624</t>
        </is>
      </c>
      <c r="E13" s="14" t="inlineStr">
        <is>
          <t>Pesakit sendiri</t>
        </is>
      </c>
      <c r="F13" s="14" t="inlineStr">
        <is>
          <t>71 - 80</t>
        </is>
      </c>
      <c r="G13" s="14" t="inlineStr">
        <is>
          <t>Ya</t>
        </is>
      </c>
      <c r="H13" s="14" t="inlineStr">
        <is>
          <t>ENT</t>
        </is>
      </c>
      <c r="I13" s="14" t="inlineStr">
        <is>
          <t>A</t>
        </is>
      </c>
      <c r="J13" s="14" t="inlineStr">
        <is>
          <t>A) Lebih Suka Kaedah Biasa &amp; Ambil Sendiri</t>
        </is>
      </c>
      <c r="K13" s="14" t="inlineStr">
        <is>
          <t>Pesakit tinggal berdekatan | Kekerapan temujanji hospital (banyak TCA hampir setiap bulan) | Lebih selesa dengan kaedah biasa di kaunter</t>
        </is>
      </c>
      <c r="L13" s="14" t="n">
        <v>3</v>
      </c>
      <c r="M13" s="14" t="inlineStr"/>
      <c r="N13" s="14" t="inlineStr"/>
    </row>
    <row r="14">
      <c r="A14" s="17" t="n">
        <v>46220.41958234954</v>
      </c>
      <c r="B14" s="15" t="n">
        <v>46220</v>
      </c>
      <c r="C14" s="15" t="n">
        <v>46216</v>
      </c>
      <c r="D14" s="13" t="inlineStr">
        <is>
          <t>SD00862682</t>
        </is>
      </c>
      <c r="E14" s="13" t="inlineStr">
        <is>
          <t>Pesakit sendiri</t>
        </is>
      </c>
      <c r="F14" s="13" t="inlineStr">
        <is>
          <t>61 - 70</t>
        </is>
      </c>
      <c r="G14" s="13" t="inlineStr">
        <is>
          <t>Ya</t>
        </is>
      </c>
      <c r="H14" s="13" t="inlineStr">
        <is>
          <t>Oftalmologi</t>
        </is>
      </c>
      <c r="I14" s="13" t="inlineStr">
        <is>
          <t>A</t>
        </is>
      </c>
      <c r="J14" s="13" t="inlineStr">
        <is>
          <t>A) Lebih Suka Kaedah Biasa &amp; Ambil Sendiri</t>
        </is>
      </c>
      <c r="K14" s="13" t="inlineStr">
        <is>
          <t>Lebih selesa dengan kaedah biasa di kaunter</t>
        </is>
      </c>
      <c r="L14" s="13" t="n">
        <v>1</v>
      </c>
      <c r="M14" s="13" t="inlineStr"/>
      <c r="N14" s="13" t="inlineStr"/>
    </row>
    <row r="15">
      <c r="A15" s="18" t="n">
        <v>46220.47649508102</v>
      </c>
      <c r="B15" s="16" t="n">
        <v>46220</v>
      </c>
      <c r="C15" s="16" t="n">
        <v>46216</v>
      </c>
      <c r="D15" s="14" t="inlineStr">
        <is>
          <t>SD00370580</t>
        </is>
      </c>
      <c r="E15" s="14" t="inlineStr">
        <is>
          <t>Pesakit sendiri</t>
        </is>
      </c>
      <c r="F15" s="14" t="inlineStr">
        <is>
          <t>41 - 50</t>
        </is>
      </c>
      <c r="G15" s="14" t="inlineStr">
        <is>
          <t>Tidak</t>
        </is>
      </c>
      <c r="H15" s="14" t="inlineStr">
        <is>
          <t>Oftalmologi</t>
        </is>
      </c>
      <c r="I15" s="14" t="inlineStr">
        <is>
          <t>A</t>
        </is>
      </c>
      <c r="J15" s="14" t="inlineStr">
        <is>
          <t>A) Lebih Suka Kaedah Biasa &amp; Ambil Sendiri</t>
        </is>
      </c>
      <c r="K15" s="14" t="inlineStr">
        <is>
          <t>Pesakit tinggal berdekatan</t>
        </is>
      </c>
      <c r="L15" s="14" t="n">
        <v>1</v>
      </c>
      <c r="M15" s="14" t="inlineStr"/>
      <c r="N15" s="14" t="inlineStr"/>
    </row>
    <row r="16">
      <c r="A16" s="17" t="n">
        <v>46220.64438280093</v>
      </c>
      <c r="B16" s="15" t="n">
        <v>46220</v>
      </c>
      <c r="C16" s="15" t="n">
        <v>46216</v>
      </c>
      <c r="D16" s="13" t="inlineStr">
        <is>
          <t>SD01521626</t>
        </is>
      </c>
      <c r="E16" s="13" t="inlineStr">
        <is>
          <t>Pesakit sendiri</t>
        </is>
      </c>
      <c r="F16" s="13" t="inlineStr">
        <is>
          <t>41 - 50</t>
        </is>
      </c>
      <c r="G16" s="13" t="inlineStr">
        <is>
          <t>Tidak</t>
        </is>
      </c>
      <c r="H16" s="13" t="inlineStr">
        <is>
          <t>Perubatan (Semua)</t>
        </is>
      </c>
      <c r="I16" s="13" t="inlineStr">
        <is>
          <t>A</t>
        </is>
      </c>
      <c r="J16" s="13" t="inlineStr">
        <is>
          <t>A) Lebih Suka Kaedah Biasa &amp; Ambil Sendiri</t>
        </is>
      </c>
      <c r="K16" s="13" t="inlineStr">
        <is>
          <t>Kekerapan temujanji hospital (banyak TCA hampir setiap bulan)</t>
        </is>
      </c>
      <c r="L16" s="13" t="n">
        <v>1</v>
      </c>
      <c r="M16" s="13" t="inlineStr"/>
      <c r="N16" s="13" t="inlineStr"/>
    </row>
    <row r="17">
      <c r="A17" s="18" t="n">
        <v>46220.65200592593</v>
      </c>
      <c r="B17" s="16" t="n">
        <v>46220</v>
      </c>
      <c r="C17" s="16" t="n">
        <v>46216</v>
      </c>
      <c r="D17" s="14" t="inlineStr">
        <is>
          <t>SD00603495</t>
        </is>
      </c>
      <c r="E17" s="14" t="inlineStr">
        <is>
          <t>Pesakit sendiri</t>
        </is>
      </c>
      <c r="F17" s="14" t="inlineStr">
        <is>
          <t>71 - 80</t>
        </is>
      </c>
      <c r="G17" s="14" t="inlineStr">
        <is>
          <t>Ya</t>
        </is>
      </c>
      <c r="H17" s="14" t="inlineStr">
        <is>
          <t>Perubatan (Semua)</t>
        </is>
      </c>
      <c r="I17" s="14" t="inlineStr">
        <is>
          <t>A</t>
        </is>
      </c>
      <c r="J17" s="14" t="inlineStr">
        <is>
          <t>A) Lebih Suka Kaedah Biasa &amp; Ambil Sendiri</t>
        </is>
      </c>
      <c r="K17" s="14" t="inlineStr">
        <is>
          <t>Pesakit tinggal berdekatan</t>
        </is>
      </c>
      <c r="L17" s="14" t="n">
        <v>1</v>
      </c>
      <c r="M17" s="14" t="inlineStr"/>
      <c r="N17" s="14" t="inlineStr"/>
    </row>
    <row r="18">
      <c r="A18" s="17" t="n">
        <v>46223.41862803241</v>
      </c>
      <c r="B18" s="15" t="n">
        <v>46223</v>
      </c>
      <c r="C18" s="15" t="n">
        <v>46223</v>
      </c>
      <c r="D18" s="13" t="inlineStr">
        <is>
          <t>SD01160364</t>
        </is>
      </c>
      <c r="E18" s="13" t="inlineStr">
        <is>
          <t>Pesakit sendiri</t>
        </is>
      </c>
      <c r="F18" s="13" t="inlineStr">
        <is>
          <t>91 - 100</t>
        </is>
      </c>
      <c r="G18" s="13" t="inlineStr">
        <is>
          <t>Ya</t>
        </is>
      </c>
      <c r="H18" s="13" t="inlineStr">
        <is>
          <t>ENT</t>
        </is>
      </c>
      <c r="I18" s="13" t="inlineStr">
        <is>
          <t>A</t>
        </is>
      </c>
      <c r="J18" s="13" t="inlineStr">
        <is>
          <t>A) Lebih Suka Kaedah Biasa &amp; Ambil Sendiri</t>
        </is>
      </c>
      <c r="K18" s="13" t="inlineStr">
        <is>
          <t>Kekerapan temujanji hospital (banyak TCA hampir setiap bulan)</t>
        </is>
      </c>
      <c r="L18" s="13" t="n">
        <v>1</v>
      </c>
      <c r="M18" s="13" t="inlineStr"/>
      <c r="N18" s="13" t="inlineStr"/>
    </row>
    <row r="19">
      <c r="A19" s="18" t="n">
        <v>46223.41872646991</v>
      </c>
      <c r="B19" s="16" t="n">
        <v>46223</v>
      </c>
      <c r="C19" s="16" t="n">
        <v>46223</v>
      </c>
      <c r="D19" s="14" t="inlineStr">
        <is>
          <t>SD01116262</t>
        </is>
      </c>
      <c r="E19" s="14" t="inlineStr">
        <is>
          <t>Pesakit sendiri</t>
        </is>
      </c>
      <c r="F19" s="14" t="inlineStr">
        <is>
          <t>51 - 60</t>
        </is>
      </c>
      <c r="G19" s="14" t="inlineStr">
        <is>
          <t>Tidak</t>
        </is>
      </c>
      <c r="H19" s="14" t="inlineStr">
        <is>
          <t>Perubatan (Semua)</t>
        </is>
      </c>
      <c r="I19" s="14" t="inlineStr">
        <is>
          <t>C</t>
        </is>
      </c>
      <c r="J19" s="14" t="inlineStr">
        <is>
          <t>C) Isu Spesifik Berkaitan Ubat Melalui Pos (UMP)</t>
        </is>
      </c>
      <c r="K19" s="14" t="inlineStr">
        <is>
          <t>Penerima tiada di rumah atau sukar untuk menunggu di rumah</t>
        </is>
      </c>
      <c r="L19" s="14" t="n">
        <v>1</v>
      </c>
      <c r="M19" s="14" t="inlineStr"/>
      <c r="N19" s="14" t="inlineStr"/>
    </row>
    <row r="20">
      <c r="A20" s="17" t="n">
        <v>46223.419164375</v>
      </c>
      <c r="B20" s="15" t="n">
        <v>46223</v>
      </c>
      <c r="C20" s="15" t="n">
        <v>46223</v>
      </c>
      <c r="D20" s="13" t="inlineStr">
        <is>
          <t>SD00682957</t>
        </is>
      </c>
      <c r="E20" s="13" t="inlineStr">
        <is>
          <t>Waris</t>
        </is>
      </c>
      <c r="F20" s="13" t="inlineStr">
        <is>
          <t>71 - 80</t>
        </is>
      </c>
      <c r="G20" s="13" t="inlineStr">
        <is>
          <t>Ya</t>
        </is>
      </c>
      <c r="H20" s="13" t="inlineStr">
        <is>
          <t>Orthopedic</t>
        </is>
      </c>
      <c r="I20" s="13" t="inlineStr">
        <is>
          <t>A</t>
        </is>
      </c>
      <c r="J20" s="13" t="inlineStr">
        <is>
          <t>A) Lebih Suka Kaedah Biasa &amp; Ambil Sendiri</t>
        </is>
      </c>
      <c r="K20" s="13" t="inlineStr">
        <is>
          <t>Kekerapan temujanji hospital (banyak TCA hampir setiap bulan)</t>
        </is>
      </c>
      <c r="L20" s="13" t="n">
        <v>1</v>
      </c>
      <c r="M20" s="13" t="inlineStr"/>
      <c r="N20" s="13" t="inlineStr"/>
    </row>
    <row r="21">
      <c r="A21" s="18" t="n">
        <v>46223.42865881944</v>
      </c>
      <c r="B21" s="16" t="n">
        <v>46223</v>
      </c>
      <c r="C21" s="16" t="n">
        <v>46223</v>
      </c>
      <c r="D21" s="14" t="inlineStr">
        <is>
          <t>SD00797406</t>
        </is>
      </c>
      <c r="E21" s="14" t="inlineStr">
        <is>
          <t>Pesakit sendiri</t>
        </is>
      </c>
      <c r="F21" s="14" t="inlineStr">
        <is>
          <t>51 - 60</t>
        </is>
      </c>
      <c r="G21" s="14" t="inlineStr">
        <is>
          <t>Tidak</t>
        </is>
      </c>
      <c r="H21" s="14" t="inlineStr">
        <is>
          <t>Oftalmologi</t>
        </is>
      </c>
      <c r="I21" s="14" t="inlineStr">
        <is>
          <t>A</t>
        </is>
      </c>
      <c r="J21" s="14" t="inlineStr">
        <is>
          <t>A) Lebih Suka Kaedah Biasa &amp; Ambil Sendiri</t>
        </is>
      </c>
      <c r="K21" s="14" t="inlineStr">
        <is>
          <t>Kekerapan temujanji hospital (banyak TCA hampir setiap bulan)</t>
        </is>
      </c>
      <c r="L21" s="14" t="n">
        <v>1</v>
      </c>
      <c r="M21" s="14" t="inlineStr"/>
      <c r="N21" s="14" t="inlineStr"/>
    </row>
    <row r="22">
      <c r="A22" s="17" t="n">
        <v>46223.43460456019</v>
      </c>
      <c r="B22" s="15" t="n">
        <v>46223</v>
      </c>
      <c r="C22" s="15" t="n">
        <v>46223</v>
      </c>
      <c r="D22" s="13" t="inlineStr">
        <is>
          <t>SD00333812</t>
        </is>
      </c>
      <c r="E22" s="13" t="inlineStr">
        <is>
          <t>Pesakit sendiri</t>
        </is>
      </c>
      <c r="F22" s="13" t="inlineStr">
        <is>
          <t>61 - 70</t>
        </is>
      </c>
      <c r="G22" s="13" t="inlineStr">
        <is>
          <t>Ya</t>
        </is>
      </c>
      <c r="H22" s="13" t="inlineStr">
        <is>
          <t>Oftalmologi</t>
        </is>
      </c>
      <c r="I22" s="13" t="inlineStr">
        <is>
          <t>A</t>
        </is>
      </c>
      <c r="J22" s="13" t="inlineStr">
        <is>
          <t>A) Lebih Suka Kaedah Biasa &amp; Ambil Sendiri</t>
        </is>
      </c>
      <c r="K22" s="13" t="inlineStr">
        <is>
          <t>Pengambilan oleh Pihak Ketiga &amp; Institusi (Rumah orang tua / Penjara)</t>
        </is>
      </c>
      <c r="L22" s="13" t="n">
        <v>1</v>
      </c>
      <c r="M22" s="13" t="inlineStr"/>
      <c r="N22" s="13" t="inlineStr"/>
    </row>
    <row r="23">
      <c r="A23" s="18" t="n">
        <v>46223.44069398148</v>
      </c>
      <c r="B23" s="16" t="n">
        <v>46223</v>
      </c>
      <c r="C23" s="16" t="n">
        <v>46223</v>
      </c>
      <c r="D23" s="14" t="inlineStr">
        <is>
          <t>SD00250432</t>
        </is>
      </c>
      <c r="E23" s="14" t="inlineStr">
        <is>
          <t>Pesakit sendiri</t>
        </is>
      </c>
      <c r="F23" s="14" t="inlineStr">
        <is>
          <t>61 - 70</t>
        </is>
      </c>
      <c r="G23" s="14" t="inlineStr">
        <is>
          <t>Ya</t>
        </is>
      </c>
      <c r="H23" s="14" t="inlineStr">
        <is>
          <t>Dermatologi</t>
        </is>
      </c>
      <c r="I23" s="14" t="inlineStr">
        <is>
          <t>A</t>
        </is>
      </c>
      <c r="J23" s="14" t="inlineStr">
        <is>
          <t>A) Lebih Suka Kaedah Biasa &amp; Ambil Sendiri</t>
        </is>
      </c>
      <c r="K23" s="14" t="inlineStr">
        <is>
          <t>Kekerapan temujanji hospital (banyak TCA hampir setiap bulan)</t>
        </is>
      </c>
      <c r="L23" s="14" t="n">
        <v>1</v>
      </c>
      <c r="M23" s="14" t="inlineStr"/>
      <c r="N23" s="14" t="inlineStr"/>
    </row>
    <row r="24">
      <c r="A24" s="17" t="n">
        <v>46223.46322164352</v>
      </c>
      <c r="B24" s="15" t="n">
        <v>46223</v>
      </c>
      <c r="C24" s="15" t="n">
        <v>46223</v>
      </c>
      <c r="D24" s="13" t="inlineStr">
        <is>
          <t>SD01031615</t>
        </is>
      </c>
      <c r="E24" s="13" t="inlineStr">
        <is>
          <t>Pesakit sendiri</t>
        </is>
      </c>
      <c r="F24" s="13" t="inlineStr">
        <is>
          <t>61 - 70</t>
        </is>
      </c>
      <c r="G24" s="13" t="inlineStr">
        <is>
          <t>Ya</t>
        </is>
      </c>
      <c r="H24" s="13" t="inlineStr">
        <is>
          <t>Oftalmologi</t>
        </is>
      </c>
      <c r="I24" s="13" t="inlineStr">
        <is>
          <t>A</t>
        </is>
      </c>
      <c r="J24" s="13" t="inlineStr">
        <is>
          <t>A) Lebih Suka Kaedah Biasa &amp; Ambil Sendiri</t>
        </is>
      </c>
      <c r="K24" s="13" t="inlineStr">
        <is>
          <t>Kekerapan temujanji hospital (banyak TCA hampir setiap bulan)</t>
        </is>
      </c>
      <c r="L24" s="13" t="n">
        <v>1</v>
      </c>
      <c r="M24" s="13" t="inlineStr"/>
      <c r="N24" s="13" t="inlineStr"/>
    </row>
    <row r="25">
      <c r="A25" s="18" t="n">
        <v>46223.47845815972</v>
      </c>
      <c r="B25" s="16" t="n">
        <v>46223</v>
      </c>
      <c r="C25" s="16" t="n">
        <v>46223</v>
      </c>
      <c r="D25" s="14" t="inlineStr">
        <is>
          <t>SD00875902</t>
        </is>
      </c>
      <c r="E25" s="14" t="inlineStr">
        <is>
          <t>Pesakit sendiri</t>
        </is>
      </c>
      <c r="F25" s="14" t="inlineStr">
        <is>
          <t>71 - 80</t>
        </is>
      </c>
      <c r="G25" s="14" t="inlineStr">
        <is>
          <t>Ya</t>
        </is>
      </c>
      <c r="H25" s="14" t="inlineStr">
        <is>
          <t>ENT</t>
        </is>
      </c>
      <c r="I25" s="14" t="inlineStr">
        <is>
          <t>E</t>
        </is>
      </c>
      <c r="J25" s="14" t="inlineStr">
        <is>
          <t>E) Halangan Teknologi &amp; Celik Digital</t>
        </is>
      </c>
      <c r="K25" s="14" t="inlineStr">
        <is>
          <t>Pesakit tiada telefon pintar</t>
        </is>
      </c>
      <c r="L25" s="14" t="n">
        <v>1</v>
      </c>
      <c r="M25" s="14" t="inlineStr"/>
      <c r="N25" s="14" t="inlineStr"/>
    </row>
    <row r="26">
      <c r="A26" s="17" t="n">
        <v>46224.39526206018</v>
      </c>
      <c r="B26" s="15" t="n">
        <v>46224</v>
      </c>
      <c r="C26" s="15" t="n">
        <v>46223</v>
      </c>
      <c r="D26" s="13" t="inlineStr">
        <is>
          <t>SD00301046</t>
        </is>
      </c>
      <c r="E26" s="13" t="inlineStr">
        <is>
          <t>Pesakit sendiri</t>
        </is>
      </c>
      <c r="F26" s="13" t="inlineStr">
        <is>
          <t>71 - 80</t>
        </is>
      </c>
      <c r="G26" s="13" t="inlineStr">
        <is>
          <t>Ya</t>
        </is>
      </c>
      <c r="H26" s="13" t="inlineStr">
        <is>
          <t>Dermatologi</t>
        </is>
      </c>
      <c r="I26" s="13" t="inlineStr">
        <is>
          <t>A</t>
        </is>
      </c>
      <c r="J26" s="13" t="inlineStr">
        <is>
          <t>A) Lebih Suka Kaedah Biasa &amp; Ambil Sendiri</t>
        </is>
      </c>
      <c r="K26" s="13" t="inlineStr">
        <is>
          <t>Kekerapan temujanji hospital (banyak TCA hampir setiap bulan)</t>
        </is>
      </c>
      <c r="L26" s="13" t="n">
        <v>1</v>
      </c>
      <c r="M26" s="13" t="inlineStr"/>
      <c r="N26" s="13" t="inlineStr"/>
    </row>
    <row r="27">
      <c r="A27" s="18" t="n">
        <v>46224.40541167824</v>
      </c>
      <c r="B27" s="16" t="n">
        <v>46224</v>
      </c>
      <c r="C27" s="16" t="n">
        <v>46223</v>
      </c>
      <c r="D27" s="14" t="inlineStr">
        <is>
          <t>SD00992258</t>
        </is>
      </c>
      <c r="E27" s="14" t="inlineStr">
        <is>
          <t>Pesakit sendiri</t>
        </is>
      </c>
      <c r="F27" s="14" t="inlineStr">
        <is>
          <t>61 - 70</t>
        </is>
      </c>
      <c r="G27" s="14" t="inlineStr">
        <is>
          <t>Ya</t>
        </is>
      </c>
      <c r="H27" s="14" t="inlineStr">
        <is>
          <t>Hematologi</t>
        </is>
      </c>
      <c r="I27" s="14" t="inlineStr">
        <is>
          <t>A</t>
        </is>
      </c>
      <c r="J27" s="14" t="inlineStr">
        <is>
          <t>A) Lebih Suka Kaedah Biasa &amp; Ambil Sendiri</t>
        </is>
      </c>
      <c r="K27" s="14" t="inlineStr">
        <is>
          <t>Kekerapan temujanji hospital (banyak TCA hampir setiap bulan)</t>
        </is>
      </c>
      <c r="L27" s="14" t="n">
        <v>1</v>
      </c>
      <c r="M27" s="14" t="inlineStr"/>
      <c r="N27" s="14" t="inlineStr"/>
    </row>
    <row r="28">
      <c r="A28" s="17" t="n">
        <v>46224.41799148148</v>
      </c>
      <c r="B28" s="15" t="n">
        <v>46224</v>
      </c>
      <c r="C28" s="15" t="n">
        <v>46223</v>
      </c>
      <c r="D28" s="13" t="inlineStr">
        <is>
          <t>SD00222494</t>
        </is>
      </c>
      <c r="E28" s="13" t="inlineStr">
        <is>
          <t>Waris</t>
        </is>
      </c>
      <c r="F28" s="13" t="inlineStr">
        <is>
          <t>71 - 80</t>
        </is>
      </c>
      <c r="G28" s="13" t="inlineStr">
        <is>
          <t>Ya</t>
        </is>
      </c>
      <c r="H28" s="13" t="inlineStr">
        <is>
          <t>Oftalmologi</t>
        </is>
      </c>
      <c r="I28" s="13" t="inlineStr">
        <is>
          <t>A</t>
        </is>
      </c>
      <c r="J28" s="13" t="inlineStr">
        <is>
          <t>A) Lebih Suka Kaedah Biasa &amp; Ambil Sendiri</t>
        </is>
      </c>
      <c r="K28" s="13" t="inlineStr">
        <is>
          <t>Pesakit tinggal berdekatan | Lebih selesa dengan kaedah biasa di kaunter</t>
        </is>
      </c>
      <c r="L28" s="13" t="n">
        <v>2</v>
      </c>
      <c r="M28" s="13" t="inlineStr"/>
      <c r="N28" s="13" t="inlineStr"/>
    </row>
    <row r="29">
      <c r="A29" s="18" t="n">
        <v>46224.43203171296</v>
      </c>
      <c r="B29" s="16" t="n">
        <v>46224</v>
      </c>
      <c r="C29" s="16" t="n">
        <v>46223</v>
      </c>
      <c r="D29" s="14" t="inlineStr">
        <is>
          <t>SD01315691</t>
        </is>
      </c>
      <c r="E29" s="14" t="inlineStr">
        <is>
          <t>Waris</t>
        </is>
      </c>
      <c r="F29" s="14" t="inlineStr">
        <is>
          <t>0 - 10</t>
        </is>
      </c>
      <c r="G29" s="14" t="inlineStr">
        <is>
          <t>Tidak</t>
        </is>
      </c>
      <c r="H29" s="14" t="inlineStr">
        <is>
          <t>Oftalmologi</t>
        </is>
      </c>
      <c r="I29" s="14" t="inlineStr">
        <is>
          <t>A</t>
        </is>
      </c>
      <c r="J29" s="14" t="inlineStr">
        <is>
          <t>A) Lebih Suka Kaedah Biasa &amp; Ambil Sendiri</t>
        </is>
      </c>
      <c r="K29" s="14" t="inlineStr">
        <is>
          <t>Kekerapan temujanji hospital (banyak TCA hampir setiap bulan)</t>
        </is>
      </c>
      <c r="L29" s="14" t="n">
        <v>1</v>
      </c>
      <c r="M29" s="14" t="inlineStr"/>
      <c r="N29" s="14" t="inlineStr"/>
    </row>
    <row r="30">
      <c r="A30" s="17" t="n">
        <v>46224.44103362269</v>
      </c>
      <c r="B30" s="15" t="n">
        <v>46224</v>
      </c>
      <c r="C30" s="15" t="n">
        <v>46223</v>
      </c>
      <c r="D30" s="13" t="inlineStr">
        <is>
          <t>SD00391838</t>
        </is>
      </c>
      <c r="E30" s="13" t="inlineStr">
        <is>
          <t>Pesakit sendiri</t>
        </is>
      </c>
      <c r="F30" s="13" t="inlineStr">
        <is>
          <t>71 - 80</t>
        </is>
      </c>
      <c r="G30" s="13" t="inlineStr">
        <is>
          <t>Ya</t>
        </is>
      </c>
      <c r="H30" s="13" t="inlineStr">
        <is>
          <t>Urologi</t>
        </is>
      </c>
      <c r="I30" s="13" t="inlineStr">
        <is>
          <t>A</t>
        </is>
      </c>
      <c r="J30" s="13" t="inlineStr">
        <is>
          <t>A) Lebih Suka Kaedah Biasa &amp; Ambil Sendiri</t>
        </is>
      </c>
      <c r="K30" s="13" t="inlineStr">
        <is>
          <t>Lebih selesa dengan kaedah biasa di kaunter | Kurang motivasi diri atau enggan mencuba sistem baharu</t>
        </is>
      </c>
      <c r="L30" s="13" t="n">
        <v>2</v>
      </c>
      <c r="M30" s="13" t="inlineStr"/>
      <c r="N30" s="13" t="inlineStr"/>
    </row>
    <row r="31">
      <c r="A31" s="18" t="n">
        <v>46224.44363354167</v>
      </c>
      <c r="B31" s="16" t="n">
        <v>46224</v>
      </c>
      <c r="C31" s="16" t="n">
        <v>46223</v>
      </c>
      <c r="D31" s="14" t="inlineStr">
        <is>
          <t>SD01420886</t>
        </is>
      </c>
      <c r="E31" s="14" t="inlineStr">
        <is>
          <t>Pesakit sendiri</t>
        </is>
      </c>
      <c r="F31" s="14" t="inlineStr">
        <is>
          <t>61 - 70</t>
        </is>
      </c>
      <c r="G31" s="14" t="inlineStr">
        <is>
          <t>Ya</t>
        </is>
      </c>
      <c r="H31" s="14" t="inlineStr">
        <is>
          <t>Urologi</t>
        </is>
      </c>
      <c r="I31" s="14" t="inlineStr">
        <is>
          <t>A</t>
        </is>
      </c>
      <c r="J31" s="14" t="inlineStr">
        <is>
          <t>A) Lebih Suka Kaedah Biasa &amp; Ambil Sendiri</t>
        </is>
      </c>
      <c r="K31" s="14" t="inlineStr">
        <is>
          <t>Kekerapan temujanji hospital (banyak TCA hampir setiap bulan) | Lebih selesa dengan kaedah biasa di kaunter</t>
        </is>
      </c>
      <c r="L31" s="14" t="n">
        <v>2</v>
      </c>
      <c r="M31" s="14" t="inlineStr"/>
      <c r="N31" s="14" t="inlineStr"/>
    </row>
    <row r="32">
      <c r="A32" s="17" t="n">
        <v>46224.44678443287</v>
      </c>
      <c r="B32" s="15" t="n">
        <v>46224</v>
      </c>
      <c r="C32" s="15" t="n">
        <v>46223</v>
      </c>
      <c r="D32" s="13" t="inlineStr">
        <is>
          <t>SD00862428</t>
        </is>
      </c>
      <c r="E32" s="13" t="inlineStr">
        <is>
          <t>Pesakit sendiri</t>
        </is>
      </c>
      <c r="F32" s="13" t="inlineStr">
        <is>
          <t>61 - 70</t>
        </is>
      </c>
      <c r="G32" s="13" t="inlineStr">
        <is>
          <t>Ya</t>
        </is>
      </c>
      <c r="H32" s="13" t="inlineStr">
        <is>
          <t>ENT</t>
        </is>
      </c>
      <c r="I32" s="13" t="inlineStr">
        <is>
          <t>A</t>
        </is>
      </c>
      <c r="J32" s="13" t="inlineStr">
        <is>
          <t>A) Lebih Suka Kaedah Biasa &amp; Ambil Sendiri</t>
        </is>
      </c>
      <c r="K32" s="13" t="inlineStr">
        <is>
          <t>Lebih selesa dengan kaedah biasa di kaunter</t>
        </is>
      </c>
      <c r="L32" s="13" t="n">
        <v>1</v>
      </c>
      <c r="M32" s="13" t="inlineStr"/>
      <c r="N32" s="13" t="inlineStr"/>
    </row>
    <row r="33">
      <c r="A33" s="18" t="n">
        <v>46224.45417028935</v>
      </c>
      <c r="B33" s="16" t="n">
        <v>46224</v>
      </c>
      <c r="C33" s="16" t="n">
        <v>46223</v>
      </c>
      <c r="D33" s="14" t="inlineStr">
        <is>
          <t>SD01252867</t>
        </is>
      </c>
      <c r="E33" s="14" t="inlineStr">
        <is>
          <t>Pesakit sendiri</t>
        </is>
      </c>
      <c r="F33" s="14" t="inlineStr">
        <is>
          <t>71 - 80</t>
        </is>
      </c>
      <c r="G33" s="14" t="inlineStr">
        <is>
          <t>Ya</t>
        </is>
      </c>
      <c r="H33" s="14" t="inlineStr">
        <is>
          <t>Orthopedic</t>
        </is>
      </c>
      <c r="I33" s="14" t="inlineStr">
        <is>
          <t>C</t>
        </is>
      </c>
      <c r="J33" s="14" t="inlineStr">
        <is>
          <t>C) Isu Spesifik Berkaitan Ubat Melalui Pos (UMP)</t>
        </is>
      </c>
      <c r="K33" s="14" t="inlineStr">
        <is>
          <t>Penerima tiada di rumah atau sukar untuk menunggu di rumah</t>
        </is>
      </c>
      <c r="L33" s="14" t="n">
        <v>1</v>
      </c>
      <c r="M33" s="14" t="inlineStr"/>
      <c r="N33" s="14" t="inlineStr"/>
    </row>
    <row r="34">
      <c r="A34" s="17" t="n">
        <v>46224.45895584491</v>
      </c>
      <c r="B34" s="15" t="n">
        <v>46224</v>
      </c>
      <c r="C34" s="15" t="n">
        <v>46223</v>
      </c>
      <c r="D34" s="13" t="inlineStr">
        <is>
          <t>SD00300580</t>
        </is>
      </c>
      <c r="E34" s="13" t="inlineStr">
        <is>
          <t>Waris</t>
        </is>
      </c>
      <c r="F34" s="13" t="inlineStr">
        <is>
          <t>71 - 80</t>
        </is>
      </c>
      <c r="G34" s="13" t="inlineStr">
        <is>
          <t>Ya</t>
        </is>
      </c>
      <c r="H34" s="13" t="inlineStr">
        <is>
          <t>Perubatan (Semua)</t>
        </is>
      </c>
      <c r="I34" s="13" t="inlineStr">
        <is>
          <t>A</t>
        </is>
      </c>
      <c r="J34" s="13" t="inlineStr">
        <is>
          <t>A) Lebih Suka Kaedah Biasa &amp; Ambil Sendiri</t>
        </is>
      </c>
      <c r="K34" s="13" t="inlineStr">
        <is>
          <t>Lebih selesa dengan kaedah biasa di kaunter</t>
        </is>
      </c>
      <c r="L34" s="13" t="n">
        <v>1</v>
      </c>
      <c r="M34" s="13" t="inlineStr"/>
      <c r="N34" s="13" t="inlineStr"/>
    </row>
    <row r="35">
      <c r="A35" s="18" t="n">
        <v>46224.47362921296</v>
      </c>
      <c r="B35" s="16" t="n">
        <v>46224</v>
      </c>
      <c r="C35" s="16" t="n">
        <v>46223</v>
      </c>
      <c r="D35" s="14" t="inlineStr">
        <is>
          <t>SD00331584</t>
        </is>
      </c>
      <c r="E35" s="14" t="inlineStr">
        <is>
          <t>Pesakit sendiri</t>
        </is>
      </c>
      <c r="F35" s="14" t="inlineStr">
        <is>
          <t>71 - 80</t>
        </is>
      </c>
      <c r="G35" s="14" t="inlineStr">
        <is>
          <t>Ya</t>
        </is>
      </c>
      <c r="H35" s="14" t="inlineStr">
        <is>
          <t>Urologi</t>
        </is>
      </c>
      <c r="I35" s="14" t="inlineStr">
        <is>
          <t>A</t>
        </is>
      </c>
      <c r="J35" s="14" t="inlineStr">
        <is>
          <t>A) Lebih Suka Kaedah Biasa &amp; Ambil Sendiri</t>
        </is>
      </c>
      <c r="K35" s="14" t="inlineStr">
        <is>
          <t>Lebih selesa dengan kaedah biasa di kaunter</t>
        </is>
      </c>
      <c r="L35" s="14" t="n">
        <v>1</v>
      </c>
      <c r="M35" s="14" t="inlineStr"/>
      <c r="N35" s="14" t="inlineStr"/>
    </row>
    <row r="36">
      <c r="A36" s="17" t="n">
        <v>46225.38474489583</v>
      </c>
      <c r="B36" s="15" t="n">
        <v>46225</v>
      </c>
      <c r="C36" s="15" t="n">
        <v>46223</v>
      </c>
      <c r="D36" s="13" t="inlineStr">
        <is>
          <t>SD00037178</t>
        </is>
      </c>
      <c r="E36" s="13" t="inlineStr">
        <is>
          <t>Pesakit sendiri</t>
        </is>
      </c>
      <c r="F36" s="13" t="inlineStr">
        <is>
          <t>71 - 80</t>
        </is>
      </c>
      <c r="G36" s="13" t="inlineStr">
        <is>
          <t>Ya</t>
        </is>
      </c>
      <c r="H36" s="13" t="inlineStr">
        <is>
          <t>Perubatan (Semua)</t>
        </is>
      </c>
      <c r="I36" s="13" t="inlineStr">
        <is>
          <t>A</t>
        </is>
      </c>
      <c r="J36" s="13" t="inlineStr">
        <is>
          <t>A) Lebih Suka Kaedah Biasa &amp; Ambil Sendiri</t>
        </is>
      </c>
      <c r="K36" s="13" t="inlineStr">
        <is>
          <t>Lebih selesa dengan kaedah biasa di kaunter</t>
        </is>
      </c>
      <c r="L36" s="13" t="n">
        <v>1</v>
      </c>
      <c r="M36" s="13" t="inlineStr"/>
      <c r="N36" s="13" t="inlineStr"/>
    </row>
    <row r="37">
      <c r="A37" s="18" t="n">
        <v>46225.43286424768</v>
      </c>
      <c r="B37" s="16" t="n">
        <v>46225</v>
      </c>
      <c r="C37" s="16" t="n">
        <v>46223</v>
      </c>
      <c r="D37" s="14" t="inlineStr">
        <is>
          <t>SD01056832</t>
        </is>
      </c>
      <c r="E37" s="14" t="inlineStr">
        <is>
          <t>Pesakit sendiri</t>
        </is>
      </c>
      <c r="F37" s="14" t="inlineStr">
        <is>
          <t>61 - 70</t>
        </is>
      </c>
      <c r="G37" s="14" t="inlineStr">
        <is>
          <t>Ya</t>
        </is>
      </c>
      <c r="H37" s="14" t="inlineStr">
        <is>
          <t>Orthopedic</t>
        </is>
      </c>
      <c r="I37" s="14" t="inlineStr">
        <is>
          <t>C</t>
        </is>
      </c>
      <c r="J37" s="14" t="inlineStr">
        <is>
          <t>C) Isu Spesifik Berkaitan Ubat Melalui Pos (UMP)</t>
        </is>
      </c>
      <c r="K37" s="14" t="inlineStr">
        <is>
          <t>Penerima tiada di rumah atau sukar untuk menunggu di rumah</t>
        </is>
      </c>
      <c r="L37" s="14" t="n">
        <v>1</v>
      </c>
      <c r="M37" s="14" t="inlineStr"/>
      <c r="N37" s="14" t="inlineStr"/>
    </row>
    <row r="38">
      <c r="A38" s="17" t="n">
        <v>46226.3527066551</v>
      </c>
      <c r="B38" s="15" t="n">
        <v>46226</v>
      </c>
      <c r="C38" s="15" t="n">
        <v>46223</v>
      </c>
      <c r="D38" s="13" t="inlineStr">
        <is>
          <t>SD00785536</t>
        </is>
      </c>
      <c r="E38" s="13" t="inlineStr">
        <is>
          <t>Pesakit sendiri</t>
        </is>
      </c>
      <c r="F38" s="13" t="inlineStr">
        <is>
          <t>61 - 70</t>
        </is>
      </c>
      <c r="G38" s="13" t="inlineStr">
        <is>
          <t>Ya</t>
        </is>
      </c>
      <c r="H38" s="13" t="inlineStr">
        <is>
          <t>Orthopedic</t>
        </is>
      </c>
      <c r="I38" s="13" t="inlineStr">
        <is>
          <t>A</t>
        </is>
      </c>
      <c r="J38" s="13" t="inlineStr">
        <is>
          <t>A) Lebih Suka Kaedah Biasa &amp; Ambil Sendiri</t>
        </is>
      </c>
      <c r="K38" s="13" t="inlineStr">
        <is>
          <t>Lebih selesa dengan kaedah biasa di kaunter</t>
        </is>
      </c>
      <c r="L38" s="13" t="n">
        <v>1</v>
      </c>
      <c r="M38" s="13" t="inlineStr"/>
      <c r="N38" s="13" t="inlineStr"/>
    </row>
    <row r="39">
      <c r="A39" s="18" t="n">
        <v>46226.40861744213</v>
      </c>
      <c r="B39" s="16" t="n">
        <v>46226</v>
      </c>
      <c r="C39" s="16" t="n">
        <v>46223</v>
      </c>
      <c r="D39" s="14" t="inlineStr">
        <is>
          <t>SD01404937</t>
        </is>
      </c>
      <c r="E39" s="14" t="inlineStr">
        <is>
          <t>Waris</t>
        </is>
      </c>
      <c r="F39" s="14" t="inlineStr">
        <is>
          <t>71 - 80</t>
        </is>
      </c>
      <c r="G39" s="14" t="inlineStr">
        <is>
          <t>Ya</t>
        </is>
      </c>
      <c r="H39" s="14" t="inlineStr">
        <is>
          <t>Oftalmologi</t>
        </is>
      </c>
      <c r="I39" s="14" t="inlineStr">
        <is>
          <t>A</t>
        </is>
      </c>
      <c r="J39" s="14" t="inlineStr">
        <is>
          <t>A) Lebih Suka Kaedah Biasa &amp; Ambil Sendiri</t>
        </is>
      </c>
      <c r="K39" s="14" t="inlineStr">
        <is>
          <t>Pesakit tinggal berdekatan | Kekerapan temujanji hospital (banyak TCA hampir setiap bulan) | Lebih selesa dengan kaedah biasa di kaunter</t>
        </is>
      </c>
      <c r="L39" s="14" t="n">
        <v>3</v>
      </c>
      <c r="M39" s="14" t="inlineStr"/>
      <c r="N39" s="14" t="inlineStr"/>
    </row>
    <row r="40">
      <c r="A40" s="17" t="n">
        <v>46226.42793269676</v>
      </c>
      <c r="B40" s="15" t="n">
        <v>46226</v>
      </c>
      <c r="C40" s="15" t="n">
        <v>46223</v>
      </c>
      <c r="D40" s="13" t="inlineStr">
        <is>
          <t>SD00346370</t>
        </is>
      </c>
      <c r="E40" s="13" t="inlineStr">
        <is>
          <t>Pesakit sendiri</t>
        </is>
      </c>
      <c r="F40" s="13" t="inlineStr">
        <is>
          <t>71 - 80</t>
        </is>
      </c>
      <c r="G40" s="13" t="inlineStr">
        <is>
          <t>Ya</t>
        </is>
      </c>
      <c r="H40" s="13" t="inlineStr">
        <is>
          <t>Oftalmologi</t>
        </is>
      </c>
      <c r="I40" s="13" t="inlineStr">
        <is>
          <t>A</t>
        </is>
      </c>
      <c r="J40" s="13" t="inlineStr">
        <is>
          <t>A) Lebih Suka Kaedah Biasa &amp; Ambil Sendiri</t>
        </is>
      </c>
      <c r="K40" s="13" t="inlineStr">
        <is>
          <t>Pesakit tinggal berdekatan | Kekerapan temujanji hospital (banyak TCA hampir setiap bulan) | Lebih selesa dengan kaedah biasa di kaunter</t>
        </is>
      </c>
      <c r="L40" s="13" t="n">
        <v>3</v>
      </c>
      <c r="M40" s="13" t="inlineStr"/>
      <c r="N40" s="13" t="inlineStr"/>
    </row>
    <row r="41">
      <c r="A41" s="18" t="n">
        <v>46226.42981460648</v>
      </c>
      <c r="B41" s="16" t="n">
        <v>46226</v>
      </c>
      <c r="C41" s="16" t="n">
        <v>46223</v>
      </c>
      <c r="D41" s="14" t="inlineStr">
        <is>
          <t>SD00055019</t>
        </is>
      </c>
      <c r="E41" s="14" t="inlineStr">
        <is>
          <t>Pesakit sendiri</t>
        </is>
      </c>
      <c r="F41" s="14" t="inlineStr">
        <is>
          <t>61 - 70</t>
        </is>
      </c>
      <c r="G41" s="14" t="inlineStr">
        <is>
          <t>Ya</t>
        </is>
      </c>
      <c r="H41" s="14" t="inlineStr">
        <is>
          <t>Urologi</t>
        </is>
      </c>
      <c r="I41" s="14" t="inlineStr">
        <is>
          <t>A</t>
        </is>
      </c>
      <c r="J41" s="14" t="inlineStr">
        <is>
          <t>A) Lebih Suka Kaedah Biasa &amp; Ambil Sendiri</t>
        </is>
      </c>
      <c r="K41" s="14" t="inlineStr">
        <is>
          <t>Pesakit tinggal berdekatan | Lebih selesa dengan kaedah biasa di kaunter | Kurang motivasi diri atau enggan mencuba sistem baharu</t>
        </is>
      </c>
      <c r="L41" s="14" t="n">
        <v>3</v>
      </c>
      <c r="M41" s="14" t="inlineStr"/>
      <c r="N41" s="14" t="inlineStr"/>
    </row>
    <row r="42">
      <c r="A42" s="17" t="n">
        <v>46226.58335453704</v>
      </c>
      <c r="B42" s="15" t="n">
        <v>46226</v>
      </c>
      <c r="C42" s="15" t="n">
        <v>46223</v>
      </c>
      <c r="D42" s="13" t="inlineStr">
        <is>
          <t>SD00263071</t>
        </is>
      </c>
      <c r="E42" s="13" t="inlineStr">
        <is>
          <t>Pesakit sendiri</t>
        </is>
      </c>
      <c r="F42" s="13" t="inlineStr">
        <is>
          <t>51 - 60</t>
        </is>
      </c>
      <c r="G42" s="13" t="inlineStr">
        <is>
          <t>Tidak</t>
        </is>
      </c>
      <c r="H42" s="13" t="inlineStr">
        <is>
          <t>Psikiatri</t>
        </is>
      </c>
      <c r="I42" s="13" t="inlineStr">
        <is>
          <t>A</t>
        </is>
      </c>
      <c r="J42" s="13" t="inlineStr">
        <is>
          <t>A) Lebih Suka Kaedah Biasa &amp; Ambil Sendiri</t>
        </is>
      </c>
      <c r="K42" s="13" t="inlineStr">
        <is>
          <t>Kekerapan temujanji hospital (banyak TCA hampir setiap bulan)</t>
        </is>
      </c>
      <c r="L42" s="13" t="n">
        <v>1</v>
      </c>
      <c r="M42" s="13" t="inlineStr"/>
      <c r="N42" s="13" t="inlineStr"/>
    </row>
    <row r="43">
      <c r="A43" s="18" t="n">
        <v>46226.61997535879</v>
      </c>
      <c r="B43" s="16" t="n">
        <v>46226</v>
      </c>
      <c r="C43" s="16" t="n">
        <v>46223</v>
      </c>
      <c r="D43" s="14" t="inlineStr">
        <is>
          <t>SD00174917</t>
        </is>
      </c>
      <c r="E43" s="14" t="inlineStr">
        <is>
          <t>Pesakit sendiri</t>
        </is>
      </c>
      <c r="F43" s="14" t="inlineStr">
        <is>
          <t>91 - 100</t>
        </is>
      </c>
      <c r="G43" s="14" t="inlineStr">
        <is>
          <t>Ya</t>
        </is>
      </c>
      <c r="H43" s="14" t="inlineStr">
        <is>
          <t>ENT</t>
        </is>
      </c>
      <c r="I43" s="14" t="inlineStr">
        <is>
          <t>A</t>
        </is>
      </c>
      <c r="J43" s="14" t="inlineStr">
        <is>
          <t>A) Lebih Suka Kaedah Biasa &amp; Ambil Sendiri</t>
        </is>
      </c>
      <c r="K43" s="14" t="inlineStr">
        <is>
          <t>Kekerapan temujanji hospital (banyak TCA hampir setiap bulan)</t>
        </is>
      </c>
      <c r="L43" s="14" t="n">
        <v>1</v>
      </c>
      <c r="M43" s="14" t="inlineStr">
        <is>
          <t>Berbilang jabatan dinyatakan: ENT, Urologi</t>
        </is>
      </c>
      <c r="N43" s="14" t="inlineStr"/>
    </row>
    <row r="44">
      <c r="A44" s="17" t="n">
        <v>46230.57578881944</v>
      </c>
      <c r="B44" s="15" t="n">
        <v>46230</v>
      </c>
      <c r="C44" s="15" t="n">
        <v>46230</v>
      </c>
      <c r="D44" s="13" t="inlineStr">
        <is>
          <t>SD01372014</t>
        </is>
      </c>
      <c r="E44" s="13" t="inlineStr">
        <is>
          <t>Pesakit sendiri</t>
        </is>
      </c>
      <c r="F44" s="13" t="inlineStr">
        <is>
          <t>31 - 40</t>
        </is>
      </c>
      <c r="G44" s="13" t="inlineStr">
        <is>
          <t>Tidak</t>
        </is>
      </c>
      <c r="H44" s="13" t="inlineStr">
        <is>
          <t>Perubatan (Semua)</t>
        </is>
      </c>
      <c r="I44" s="13" t="inlineStr">
        <is>
          <t>A</t>
        </is>
      </c>
      <c r="J44" s="13" t="inlineStr">
        <is>
          <t>A) Lebih Suka Kaedah Biasa &amp; Ambil Sendiri</t>
        </is>
      </c>
      <c r="K44" s="13" t="inlineStr">
        <is>
          <t>Lebih selesa dengan kaedah biasa di kaunter</t>
        </is>
      </c>
      <c r="L44" s="13" t="n">
        <v>1</v>
      </c>
      <c r="M44" s="13" t="inlineStr"/>
      <c r="N44" s="13" t="inlineStr"/>
    </row>
    <row r="45">
      <c r="A45" s="18" t="n">
        <v>46230.70959054398</v>
      </c>
      <c r="B45" s="16" t="n">
        <v>46230</v>
      </c>
      <c r="C45" s="16" t="n">
        <v>46230</v>
      </c>
      <c r="D45" s="14" t="inlineStr">
        <is>
          <t>SD00299152</t>
        </is>
      </c>
      <c r="E45" s="14" t="inlineStr">
        <is>
          <t>Waris</t>
        </is>
      </c>
      <c r="F45" s="14" t="inlineStr">
        <is>
          <t>51 - 60</t>
        </is>
      </c>
      <c r="G45" s="14" t="inlineStr">
        <is>
          <t>Tidak</t>
        </is>
      </c>
      <c r="H45" s="14" t="inlineStr">
        <is>
          <t>Orthopedic</t>
        </is>
      </c>
      <c r="I45" s="14" t="inlineStr">
        <is>
          <t>A</t>
        </is>
      </c>
      <c r="J45" s="14" t="inlineStr">
        <is>
          <t>A) Lebih Suka Kaedah Biasa &amp; Ambil Sendiri</t>
        </is>
      </c>
      <c r="K45" s="14" t="inlineStr">
        <is>
          <t>Kekerapan temujanji hospital (banyak TCA hampir setiap bulan)</t>
        </is>
      </c>
      <c r="L45" s="14" t="n">
        <v>1</v>
      </c>
      <c r="M45" s="14" t="inlineStr"/>
      <c r="N45" s="14" t="inlineStr"/>
    </row>
    <row r="46">
      <c r="A46" s="17" t="n">
        <v>46231.37896435185</v>
      </c>
      <c r="B46" s="15" t="n">
        <v>46231</v>
      </c>
      <c r="C46" s="15" t="n">
        <v>46230</v>
      </c>
      <c r="D46" s="13" t="inlineStr">
        <is>
          <t>SD00285989</t>
        </is>
      </c>
      <c r="E46" s="13" t="inlineStr">
        <is>
          <t>Waris</t>
        </is>
      </c>
      <c r="F46" s="13" t="inlineStr">
        <is>
          <t>61 - 70</t>
        </is>
      </c>
      <c r="G46" s="13" t="inlineStr">
        <is>
          <t>Ya</t>
        </is>
      </c>
      <c r="H46" s="13" t="inlineStr">
        <is>
          <t>Perubatan (Semua)</t>
        </is>
      </c>
      <c r="I46" s="13" t="inlineStr">
        <is>
          <t>A</t>
        </is>
      </c>
      <c r="J46" s="13" t="inlineStr">
        <is>
          <t>A) Lebih Suka Kaedah Biasa &amp; Ambil Sendiri</t>
        </is>
      </c>
      <c r="K46" s="13" t="inlineStr">
        <is>
          <t>Kekerapan temujanji hospital (banyak TCA hampir setiap bulan)</t>
        </is>
      </c>
      <c r="L46" s="13" t="n">
        <v>1</v>
      </c>
      <c r="M46" s="13" t="inlineStr"/>
      <c r="N46" s="13" t="inlineStr"/>
    </row>
    <row r="47">
      <c r="A47" s="18" t="n">
        <v>46231.65529025463</v>
      </c>
      <c r="B47" s="16" t="n">
        <v>46231</v>
      </c>
      <c r="C47" s="16" t="n">
        <v>46230</v>
      </c>
      <c r="D47" s="14" t="inlineStr">
        <is>
          <t>00962893</t>
        </is>
      </c>
      <c r="E47" s="14" t="inlineStr">
        <is>
          <t>Pesakit sendiri</t>
        </is>
      </c>
      <c r="F47" s="14" t="inlineStr">
        <is>
          <t>31 - 40</t>
        </is>
      </c>
      <c r="G47" s="14" t="inlineStr">
        <is>
          <t>Tidak</t>
        </is>
      </c>
      <c r="H47" s="14" t="inlineStr">
        <is>
          <t>Nefrologi</t>
        </is>
      </c>
      <c r="I47" s="14" t="inlineStr">
        <is>
          <t>A</t>
        </is>
      </c>
      <c r="J47" s="14" t="inlineStr">
        <is>
          <t>A) Lebih Suka Kaedah Biasa &amp; Ambil Sendiri</t>
        </is>
      </c>
      <c r="K47" s="14" t="inlineStr">
        <is>
          <t>Kekerapan temujanji hospital (banyak TCA hampir setiap bulan)</t>
        </is>
      </c>
      <c r="L47" s="14" t="n">
        <v>1</v>
      </c>
      <c r="M47" s="14" t="inlineStr"/>
      <c r="N47" s="14" t="inlineStr"/>
    </row>
    <row r="48">
      <c r="A48" s="17" t="n">
        <v>46231.66461841435</v>
      </c>
      <c r="B48" s="15" t="n">
        <v>46231</v>
      </c>
      <c r="C48" s="15" t="n">
        <v>46230</v>
      </c>
      <c r="D48" s="13" t="inlineStr">
        <is>
          <t>SD00171951</t>
        </is>
      </c>
      <c r="E48" s="13" t="inlineStr">
        <is>
          <t>Waris</t>
        </is>
      </c>
      <c r="F48" s="13" t="inlineStr">
        <is>
          <t>51 - 60</t>
        </is>
      </c>
      <c r="G48" s="13" t="inlineStr">
        <is>
          <t>Tidak</t>
        </is>
      </c>
      <c r="H48" s="13" t="inlineStr">
        <is>
          <t>Perubatan (Semua)</t>
        </is>
      </c>
      <c r="I48" s="13" t="inlineStr">
        <is>
          <t>D</t>
        </is>
      </c>
      <c r="J48" s="13" t="inlineStr">
        <is>
          <t>D) Isu Spesifik Berkaitan Farmasi Pandu Lalu (FPL)</t>
        </is>
      </c>
      <c r="K48" s="13" t="inlineStr">
        <is>
          <t>Ketidakpadanan waktu operasi (FPL buka lambat, pesakit datang awal)</t>
        </is>
      </c>
      <c r="L48" s="13" t="n">
        <v>1</v>
      </c>
      <c r="M48" s="13" t="inlineStr"/>
      <c r="N48" s="13" t="inlineStr"/>
    </row>
    <row r="49">
      <c r="A49" s="18" t="n">
        <v>46232.56932678241</v>
      </c>
      <c r="B49" s="16" t="n">
        <v>46232</v>
      </c>
      <c r="C49" s="16" t="n">
        <v>46230</v>
      </c>
      <c r="D49" s="14" t="inlineStr">
        <is>
          <t>SD01229966</t>
        </is>
      </c>
      <c r="E49" s="14" t="inlineStr">
        <is>
          <t>Pesakit sendiri</t>
        </is>
      </c>
      <c r="F49" s="14" t="inlineStr">
        <is>
          <t>41 - 50</t>
        </is>
      </c>
      <c r="G49" s="14" t="inlineStr">
        <is>
          <t>Tidak</t>
        </is>
      </c>
      <c r="H49" s="14" t="inlineStr">
        <is>
          <t>Pulmonari</t>
        </is>
      </c>
      <c r="I49" s="14" t="inlineStr">
        <is>
          <t>E</t>
        </is>
      </c>
      <c r="J49" s="14" t="inlineStr">
        <is>
          <t>E) Halangan Teknologi &amp; Celik Digital</t>
        </is>
      </c>
      <c r="K49" s="14" t="inlineStr">
        <is>
          <t>Pesakit tiada pelan data mudah alih</t>
        </is>
      </c>
      <c r="L49" s="14" t="n">
        <v>1</v>
      </c>
      <c r="M49" s="14" t="inlineStr"/>
      <c r="N49" s="14" t="inlineStr"/>
    </row>
    <row r="50">
      <c r="A50" s="17" t="n">
        <v>46232.63744612269</v>
      </c>
      <c r="B50" s="15" t="n">
        <v>46232</v>
      </c>
      <c r="C50" s="15" t="n">
        <v>46230</v>
      </c>
      <c r="D50" s="13" t="inlineStr">
        <is>
          <t>SD00328918</t>
        </is>
      </c>
      <c r="E50" s="13" t="inlineStr">
        <is>
          <t>Waris</t>
        </is>
      </c>
      <c r="F50" s="13" t="inlineStr">
        <is>
          <t>71 - 80</t>
        </is>
      </c>
      <c r="G50" s="13" t="inlineStr">
        <is>
          <t>Ya</t>
        </is>
      </c>
      <c r="H50" s="13" t="inlineStr">
        <is>
          <t>Orthopedic</t>
        </is>
      </c>
      <c r="I50" s="13" t="inlineStr">
        <is>
          <t>A</t>
        </is>
      </c>
      <c r="J50" s="13" t="inlineStr">
        <is>
          <t>A) Lebih Suka Kaedah Biasa &amp; Ambil Sendiri</t>
        </is>
      </c>
      <c r="K50" s="13" t="inlineStr">
        <is>
          <t>Lebih selesa dengan kaedah biasa di kaunter</t>
        </is>
      </c>
      <c r="L50" s="13" t="n">
        <v>1</v>
      </c>
      <c r="M50" s="13" t="inlineStr"/>
      <c r="N50" s="13" t="inlineStr"/>
    </row>
    <row r="51">
      <c r="A51" s="18" t="n">
        <v>46232.66522137731</v>
      </c>
      <c r="B51" s="16" t="n">
        <v>46232</v>
      </c>
      <c r="C51" s="16" t="n">
        <v>46230</v>
      </c>
      <c r="D51" s="14" t="inlineStr">
        <is>
          <t>SD00763976</t>
        </is>
      </c>
      <c r="E51" s="14" t="inlineStr">
        <is>
          <t>Pesakit sendiri</t>
        </is>
      </c>
      <c r="F51" s="14" t="inlineStr">
        <is>
          <t>61 - 70</t>
        </is>
      </c>
      <c r="G51" s="14" t="inlineStr">
        <is>
          <t>Ya</t>
        </is>
      </c>
      <c r="H51" s="14" t="inlineStr">
        <is>
          <t>Nefrologi</t>
        </is>
      </c>
      <c r="I51" s="14" t="inlineStr">
        <is>
          <t>A</t>
        </is>
      </c>
      <c r="J51" s="14" t="inlineStr">
        <is>
          <t>A) Lebih Suka Kaedah Biasa &amp; Ambil Sendiri</t>
        </is>
      </c>
      <c r="K51" s="14" t="inlineStr">
        <is>
          <t>Lebih selesa dengan kaedah biasa di kaunter</t>
        </is>
      </c>
      <c r="L51" s="14" t="n">
        <v>1</v>
      </c>
      <c r="M51" s="14" t="inlineStr"/>
      <c r="N51" s="14" t="inlineStr"/>
    </row>
    <row r="52">
      <c r="A52" s="17" t="n">
        <v>46237.39371265046</v>
      </c>
      <c r="B52" s="15" t="n">
        <v>46237</v>
      </c>
      <c r="C52" s="15" t="n">
        <v>46237</v>
      </c>
      <c r="D52" s="13" t="inlineStr">
        <is>
          <t>SD00971952</t>
        </is>
      </c>
      <c r="E52" s="13" t="inlineStr">
        <is>
          <t>Pesakit sendiri</t>
        </is>
      </c>
      <c r="F52" s="13" t="inlineStr">
        <is>
          <t>71 - 80</t>
        </is>
      </c>
      <c r="G52" s="13" t="inlineStr">
        <is>
          <t>Ya</t>
        </is>
      </c>
      <c r="H52" s="13" t="inlineStr">
        <is>
          <t>Perubatan (Semua)</t>
        </is>
      </c>
      <c r="I52" s="13" t="inlineStr">
        <is>
          <t>E</t>
        </is>
      </c>
      <c r="J52" s="13" t="inlineStr">
        <is>
          <t>E) Halangan Teknologi &amp; Celik Digital</t>
        </is>
      </c>
      <c r="K52" s="13" t="inlineStr">
        <is>
          <t>Pesakit tiada telefon pintar | Pesakit tiada pelan data mudah alih</t>
        </is>
      </c>
      <c r="L52" s="13" t="n">
        <v>2</v>
      </c>
      <c r="M52" s="13" t="inlineStr"/>
      <c r="N52" s="13" t="inlineStr"/>
    </row>
    <row r="53">
      <c r="A53" s="18" t="n">
        <v>46237.39619994213</v>
      </c>
      <c r="B53" s="16" t="n">
        <v>46237</v>
      </c>
      <c r="C53" s="16" t="n">
        <v>46237</v>
      </c>
      <c r="D53" s="14" t="inlineStr">
        <is>
          <t>SD01293703</t>
        </is>
      </c>
      <c r="E53" s="14" t="inlineStr">
        <is>
          <t>Pesakit sendiri</t>
        </is>
      </c>
      <c r="F53" s="14" t="inlineStr">
        <is>
          <t>51 - 60</t>
        </is>
      </c>
      <c r="G53" s="14" t="inlineStr">
        <is>
          <t>Tidak</t>
        </is>
      </c>
      <c r="H53" s="14" t="inlineStr">
        <is>
          <t>Perubatan (Semua)</t>
        </is>
      </c>
      <c r="I53" s="14" t="inlineStr">
        <is>
          <t>A</t>
        </is>
      </c>
      <c r="J53" s="14" t="inlineStr">
        <is>
          <t>A) Lebih Suka Kaedah Biasa &amp; Ambil Sendiri</t>
        </is>
      </c>
      <c r="K53" s="14" t="inlineStr">
        <is>
          <t>Lebih selesa dengan kaedah biasa di kaunter | Kurang motivasi diri atau enggan mencuba sistem baharu</t>
        </is>
      </c>
      <c r="L53" s="14" t="n">
        <v>2</v>
      </c>
      <c r="M53" s="14" t="inlineStr"/>
      <c r="N53" s="14" t="inlineStr"/>
    </row>
    <row r="54">
      <c r="A54" s="17" t="n">
        <v>46237.40422358796</v>
      </c>
      <c r="B54" s="15" t="n">
        <v>46237</v>
      </c>
      <c r="C54" s="15" t="n">
        <v>46237</v>
      </c>
      <c r="D54" s="13" t="inlineStr">
        <is>
          <t>SD00041645</t>
        </is>
      </c>
      <c r="E54" s="13" t="inlineStr">
        <is>
          <t>Pesakit sendiri</t>
        </is>
      </c>
      <c r="F54" s="13" t="inlineStr">
        <is>
          <t>71 - 80</t>
        </is>
      </c>
      <c r="G54" s="13" t="inlineStr">
        <is>
          <t>Ya</t>
        </is>
      </c>
      <c r="H54" s="13" t="inlineStr">
        <is>
          <t>Nefrologi</t>
        </is>
      </c>
      <c r="I54" s="13" t="inlineStr">
        <is>
          <t>A</t>
        </is>
      </c>
      <c r="J54" s="13" t="inlineStr">
        <is>
          <t>A) Lebih Suka Kaedah Biasa &amp; Ambil Sendiri</t>
        </is>
      </c>
      <c r="K54" s="13" t="inlineStr">
        <is>
          <t>Lebih selesa dengan kaedah biasa di kaunter</t>
        </is>
      </c>
      <c r="L54" s="13" t="n">
        <v>1</v>
      </c>
      <c r="M54" s="13" t="inlineStr"/>
      <c r="N54" s="13" t="inlineStr"/>
    </row>
    <row r="55">
      <c r="A55" s="18" t="n">
        <v>46237.41078885417</v>
      </c>
      <c r="B55" s="16" t="n">
        <v>46237</v>
      </c>
      <c r="C55" s="16" t="n">
        <v>46237</v>
      </c>
      <c r="D55" s="14" t="inlineStr">
        <is>
          <t>SD00988592</t>
        </is>
      </c>
      <c r="E55" s="14" t="inlineStr">
        <is>
          <t>Pesakit sendiri</t>
        </is>
      </c>
      <c r="F55" s="14" t="inlineStr">
        <is>
          <t>81 - 90</t>
        </is>
      </c>
      <c r="G55" s="14" t="inlineStr">
        <is>
          <t>Ya</t>
        </is>
      </c>
      <c r="H55" s="14" t="inlineStr">
        <is>
          <t>Perubatan (Semua)</t>
        </is>
      </c>
      <c r="I55" s="14" t="inlineStr">
        <is>
          <t>A</t>
        </is>
      </c>
      <c r="J55" s="14" t="inlineStr">
        <is>
          <t>A) Lebih Suka Kaedah Biasa &amp; Ambil Sendiri</t>
        </is>
      </c>
      <c r="K55" s="14" t="inlineStr">
        <is>
          <t>Lebih selesa dengan kaedah biasa di kaunter</t>
        </is>
      </c>
      <c r="L55" s="14" t="n">
        <v>1</v>
      </c>
      <c r="M55" s="14" t="inlineStr"/>
      <c r="N55" s="14" t="inlineStr"/>
    </row>
    <row r="56">
      <c r="A56" s="17" t="n">
        <v>46237.41637666667</v>
      </c>
      <c r="B56" s="15" t="n">
        <v>46237</v>
      </c>
      <c r="C56" s="15" t="n">
        <v>46237</v>
      </c>
      <c r="D56" s="13" t="inlineStr">
        <is>
          <t>SD00373480</t>
        </is>
      </c>
      <c r="E56" s="13" t="inlineStr">
        <is>
          <t>Waris</t>
        </is>
      </c>
      <c r="F56" s="13" t="inlineStr">
        <is>
          <t>71 - 80</t>
        </is>
      </c>
      <c r="G56" s="13" t="inlineStr">
        <is>
          <t>Ya</t>
        </is>
      </c>
      <c r="H56" s="13" t="inlineStr">
        <is>
          <t>Orthopedic</t>
        </is>
      </c>
      <c r="I56" s="13" t="inlineStr">
        <is>
          <t>A</t>
        </is>
      </c>
      <c r="J56" s="13" t="inlineStr">
        <is>
          <t>A) Lebih Suka Kaedah Biasa &amp; Ambil Sendiri</t>
        </is>
      </c>
      <c r="K56" s="13" t="inlineStr">
        <is>
          <t>Kekerapan temujanji hospital (banyak TCA hampir setiap bulan)</t>
        </is>
      </c>
      <c r="L56" s="13" t="n">
        <v>1</v>
      </c>
      <c r="M56" s="13" t="inlineStr"/>
      <c r="N56" s="13" t="inlineStr"/>
    </row>
    <row r="57">
      <c r="A57" s="18" t="n">
        <v>46237.43219880787</v>
      </c>
      <c r="B57" s="16" t="n">
        <v>46237</v>
      </c>
      <c r="C57" s="16" t="n">
        <v>46237</v>
      </c>
      <c r="D57" s="14" t="inlineStr">
        <is>
          <t>SD01368129</t>
        </is>
      </c>
      <c r="E57" s="14" t="inlineStr">
        <is>
          <t>Pesakit sendiri</t>
        </is>
      </c>
      <c r="F57" s="14" t="inlineStr">
        <is>
          <t>51 - 60</t>
        </is>
      </c>
      <c r="G57" s="14" t="inlineStr">
        <is>
          <t>Tidak</t>
        </is>
      </c>
      <c r="H57" s="14" t="inlineStr">
        <is>
          <t>Orthopedic</t>
        </is>
      </c>
      <c r="I57" s="14" t="inlineStr">
        <is>
          <t>C</t>
        </is>
      </c>
      <c r="J57" s="14" t="inlineStr">
        <is>
          <t>C) Isu Spesifik Berkaitan Ubat Melalui Pos (UMP)</t>
        </is>
      </c>
      <c r="K57" s="14" t="inlineStr">
        <is>
          <t>Enggan atau tidak mampu membayar caj kurier</t>
        </is>
      </c>
      <c r="L57" s="14" t="n">
        <v>1</v>
      </c>
      <c r="M57" s="14" t="inlineStr"/>
      <c r="N57" s="14" t="inlineStr"/>
    </row>
    <row r="58">
      <c r="A58" s="17" t="n">
        <v>46237.52174890046</v>
      </c>
      <c r="B58" s="15" t="n">
        <v>46237</v>
      </c>
      <c r="C58" s="15" t="n">
        <v>46237</v>
      </c>
      <c r="D58" s="13" t="inlineStr">
        <is>
          <t>SD00748929</t>
        </is>
      </c>
      <c r="E58" s="13" t="inlineStr">
        <is>
          <t>Waris</t>
        </is>
      </c>
      <c r="F58" s="13" t="inlineStr">
        <is>
          <t>71 - 80</t>
        </is>
      </c>
      <c r="G58" s="13" t="inlineStr">
        <is>
          <t>Ya</t>
        </is>
      </c>
      <c r="H58" s="13" t="inlineStr">
        <is>
          <t>Pulmonari</t>
        </is>
      </c>
      <c r="I58" s="13" t="inlineStr">
        <is>
          <t>A</t>
        </is>
      </c>
      <c r="J58" s="13" t="inlineStr">
        <is>
          <t>A) Lebih Suka Kaedah Biasa &amp; Ambil Sendiri</t>
        </is>
      </c>
      <c r="K58" s="13" t="inlineStr">
        <is>
          <t>Lebih selesa dengan kaedah biasa di kaunter</t>
        </is>
      </c>
      <c r="L58" s="13" t="n">
        <v>1</v>
      </c>
      <c r="M58" s="13" t="inlineStr"/>
      <c r="N58" s="13" t="inlineStr"/>
    </row>
    <row r="59">
      <c r="A59" s="18" t="n">
        <v>46238.35405913195</v>
      </c>
      <c r="B59" s="16" t="n">
        <v>46238</v>
      </c>
      <c r="C59" s="16" t="n">
        <v>46237</v>
      </c>
      <c r="D59" s="14" t="inlineStr">
        <is>
          <t>SD00395597</t>
        </is>
      </c>
      <c r="E59" s="14" t="inlineStr">
        <is>
          <t>Pesakit sendiri</t>
        </is>
      </c>
      <c r="F59" s="14" t="inlineStr">
        <is>
          <t>71 - 80</t>
        </is>
      </c>
      <c r="G59" s="14" t="inlineStr">
        <is>
          <t>Ya</t>
        </is>
      </c>
      <c r="H59" s="14" t="inlineStr">
        <is>
          <t>Urologi</t>
        </is>
      </c>
      <c r="I59" s="14" t="inlineStr">
        <is>
          <t>A</t>
        </is>
      </c>
      <c r="J59" s="14" t="inlineStr">
        <is>
          <t>A) Lebih Suka Kaedah Biasa &amp; Ambil Sendiri</t>
        </is>
      </c>
      <c r="K59" s="14" t="inlineStr">
        <is>
          <t>Kurang motivasi diri atau enggan mencuba sistem baharu</t>
        </is>
      </c>
      <c r="L59" s="14" t="n">
        <v>1</v>
      </c>
      <c r="M59" s="14" t="inlineStr"/>
      <c r="N59" s="14" t="inlineStr"/>
    </row>
    <row r="60">
      <c r="A60" s="17" t="n">
        <v>46238.40812648148</v>
      </c>
      <c r="B60" s="15" t="n">
        <v>46238</v>
      </c>
      <c r="C60" s="15" t="n">
        <v>46237</v>
      </c>
      <c r="D60" s="13" t="inlineStr">
        <is>
          <t>SD00035437</t>
        </is>
      </c>
      <c r="E60" s="13" t="inlineStr">
        <is>
          <t>Pesakit sendiri</t>
        </is>
      </c>
      <c r="F60" s="13" t="inlineStr">
        <is>
          <t>71 - 80</t>
        </is>
      </c>
      <c r="G60" s="13" t="inlineStr">
        <is>
          <t>Ya</t>
        </is>
      </c>
      <c r="H60" s="13" t="inlineStr">
        <is>
          <t>Urologi</t>
        </is>
      </c>
      <c r="I60" s="13" t="inlineStr">
        <is>
          <t>C</t>
        </is>
      </c>
      <c r="J60" s="13" t="inlineStr">
        <is>
          <t>C) Isu Spesifik Berkaitan Ubat Melalui Pos (UMP)</t>
        </is>
      </c>
      <c r="K60" s="13" t="inlineStr">
        <is>
          <t>Pengalaman buruk dengan pos sebelum ini (ubat salah atau tidak mencukupi)</t>
        </is>
      </c>
      <c r="L60" s="13" t="n">
        <v>1</v>
      </c>
      <c r="M60" s="13" t="inlineStr"/>
      <c r="N60" s="13" t="inlineStr"/>
    </row>
    <row r="61">
      <c r="A61" s="18" t="n">
        <v>46238.40859792824</v>
      </c>
      <c r="B61" s="16" t="n">
        <v>46238</v>
      </c>
      <c r="C61" s="16" t="n">
        <v>46237</v>
      </c>
      <c r="D61" s="14" t="inlineStr">
        <is>
          <t>SD00814088</t>
        </is>
      </c>
      <c r="E61" s="14" t="inlineStr">
        <is>
          <t>Pesakit sendiri</t>
        </is>
      </c>
      <c r="F61" s="14" t="inlineStr">
        <is>
          <t>61 - 70</t>
        </is>
      </c>
      <c r="G61" s="14" t="inlineStr">
        <is>
          <t>Ya</t>
        </is>
      </c>
      <c r="H61" s="14" t="inlineStr">
        <is>
          <t>Urologi</t>
        </is>
      </c>
      <c r="I61" s="14" t="inlineStr">
        <is>
          <t>A</t>
        </is>
      </c>
      <c r="J61" s="14" t="inlineStr">
        <is>
          <t>A) Lebih Suka Kaedah Biasa &amp; Ambil Sendiri</t>
        </is>
      </c>
      <c r="K61" s="14" t="inlineStr">
        <is>
          <t>Lebih selesa dengan kaedah biasa di kaunter | Kurang motivasi diri atau enggan mencuba sistem baharu</t>
        </is>
      </c>
      <c r="L61" s="14" t="n">
        <v>2</v>
      </c>
      <c r="M61" s="14" t="inlineStr"/>
      <c r="N61" s="14" t="inlineStr"/>
    </row>
    <row r="62">
      <c r="A62" s="17" t="n">
        <v>46238.42428501158</v>
      </c>
      <c r="B62" s="15" t="n">
        <v>46238</v>
      </c>
      <c r="C62" s="15" t="n">
        <v>46237</v>
      </c>
      <c r="D62" s="13" t="inlineStr">
        <is>
          <t>SD00926685</t>
        </is>
      </c>
      <c r="E62" s="13" t="inlineStr">
        <is>
          <t>Pesakit sendiri</t>
        </is>
      </c>
      <c r="F62" s="13" t="inlineStr">
        <is>
          <t>Tidak Direkod</t>
        </is>
      </c>
      <c r="G62" s="13" t="inlineStr">
        <is>
          <t>Tidak Direkod</t>
        </is>
      </c>
      <c r="H62" s="13" t="inlineStr">
        <is>
          <t>Urologi</t>
        </is>
      </c>
      <c r="I62" s="13" t="inlineStr">
        <is>
          <t>C</t>
        </is>
      </c>
      <c r="J62" s="13" t="inlineStr">
        <is>
          <t>C) Isu Spesifik Berkaitan Ubat Melalui Pos (UMP)</t>
        </is>
      </c>
      <c r="K62" s="13" t="inlineStr">
        <is>
          <t>Pengalaman buruk dengan pos sebelum ini (ubat salah atau tidak mencukupi)</t>
        </is>
      </c>
      <c r="L62" s="13" t="n">
        <v>1</v>
      </c>
      <c r="M62" s="13" t="inlineStr"/>
      <c r="N62" s="13" t="inlineStr"/>
    </row>
    <row r="63">
      <c r="A63" s="18" t="n">
        <v>46239.37059537037</v>
      </c>
      <c r="B63" s="16" t="n">
        <v>46239</v>
      </c>
      <c r="C63" s="16" t="n">
        <v>46237</v>
      </c>
      <c r="D63" s="14" t="inlineStr">
        <is>
          <t>SD00239901</t>
        </is>
      </c>
      <c r="E63" s="14" t="inlineStr">
        <is>
          <t>Waris</t>
        </is>
      </c>
      <c r="F63" s="14" t="inlineStr">
        <is>
          <t>61 - 70</t>
        </is>
      </c>
      <c r="G63" s="14" t="inlineStr">
        <is>
          <t>Ya</t>
        </is>
      </c>
      <c r="H63" s="14" t="inlineStr">
        <is>
          <t>Oftalmologi</t>
        </is>
      </c>
      <c r="I63" s="14" t="inlineStr">
        <is>
          <t>A</t>
        </is>
      </c>
      <c r="J63" s="14" t="inlineStr">
        <is>
          <t>A) Lebih Suka Kaedah Biasa &amp; Ambil Sendiri</t>
        </is>
      </c>
      <c r="K63" s="14" t="inlineStr">
        <is>
          <t>Pesakit tinggal berdekatan | Lebih selesa dengan kaedah biasa di kaunter</t>
        </is>
      </c>
      <c r="L63" s="14" t="n">
        <v>2</v>
      </c>
      <c r="M63" s="14" t="inlineStr"/>
      <c r="N63" s="14" t="inlineStr"/>
    </row>
    <row r="64">
      <c r="A64" s="17" t="n">
        <v>46239.41545026621</v>
      </c>
      <c r="B64" s="15" t="n">
        <v>46239</v>
      </c>
      <c r="C64" s="15" t="n">
        <v>46237</v>
      </c>
      <c r="D64" s="13" t="inlineStr">
        <is>
          <t>SD00728608</t>
        </is>
      </c>
      <c r="E64" s="13" t="inlineStr">
        <is>
          <t>Pesakit sendiri</t>
        </is>
      </c>
      <c r="F64" s="13" t="inlineStr">
        <is>
          <t>41 - 50</t>
        </is>
      </c>
      <c r="G64" s="13" t="inlineStr">
        <is>
          <t>Tidak</t>
        </is>
      </c>
      <c r="H64" s="13" t="inlineStr">
        <is>
          <t>ENT</t>
        </is>
      </c>
      <c r="I64" s="13" t="inlineStr">
        <is>
          <t>A</t>
        </is>
      </c>
      <c r="J64" s="13" t="inlineStr">
        <is>
          <t>A) Lebih Suka Kaedah Biasa &amp; Ambil Sendiri</t>
        </is>
      </c>
      <c r="K64" s="13" t="inlineStr">
        <is>
          <t>Pesakit tinggal berdekatan | Lebih selesa dengan kaedah biasa di kaunter</t>
        </is>
      </c>
      <c r="L64" s="13" t="n">
        <v>2</v>
      </c>
      <c r="M64" s="13" t="inlineStr"/>
      <c r="N64" s="13" t="inlineStr"/>
    </row>
    <row r="65">
      <c r="A65" s="18" t="n">
        <v>46239.43132947916</v>
      </c>
      <c r="B65" s="16" t="n">
        <v>46239</v>
      </c>
      <c r="C65" s="16" t="n">
        <v>46237</v>
      </c>
      <c r="D65" s="14" t="inlineStr">
        <is>
          <t>SD00586292</t>
        </is>
      </c>
      <c r="E65" s="14" t="inlineStr">
        <is>
          <t>Pesakit sendiri</t>
        </is>
      </c>
      <c r="F65" s="14" t="inlineStr">
        <is>
          <t>71 - 80</t>
        </is>
      </c>
      <c r="G65" s="14" t="inlineStr">
        <is>
          <t>Ya</t>
        </is>
      </c>
      <c r="H65" s="14" t="inlineStr">
        <is>
          <t>Nefrologi</t>
        </is>
      </c>
      <c r="I65" s="14" t="inlineStr">
        <is>
          <t>E</t>
        </is>
      </c>
      <c r="J65" s="14" t="inlineStr">
        <is>
          <t>E) Halangan Teknologi &amp; Celik Digital</t>
        </is>
      </c>
      <c r="K65" s="14" t="inlineStr">
        <is>
          <t>Pesakit tiada telefon pintar</t>
        </is>
      </c>
      <c r="L65" s="14" t="n">
        <v>1</v>
      </c>
      <c r="M65" s="14" t="inlineStr"/>
      <c r="N65" s="14" t="inlineStr"/>
    </row>
    <row r="66">
      <c r="A66" s="17" t="n">
        <v>46239.4445847338</v>
      </c>
      <c r="B66" s="15" t="n">
        <v>46239</v>
      </c>
      <c r="C66" s="15" t="n">
        <v>46237</v>
      </c>
      <c r="D66" s="13" t="inlineStr">
        <is>
          <t>SD01233303</t>
        </is>
      </c>
      <c r="E66" s="13" t="inlineStr">
        <is>
          <t>Pesakit sendiri</t>
        </is>
      </c>
      <c r="F66" s="13" t="inlineStr">
        <is>
          <t>51 - 60</t>
        </is>
      </c>
      <c r="G66" s="13" t="inlineStr">
        <is>
          <t>Tidak</t>
        </is>
      </c>
      <c r="H66" s="13" t="inlineStr">
        <is>
          <t>Perubatan (Semua)</t>
        </is>
      </c>
      <c r="I66" s="13" t="inlineStr">
        <is>
          <t>A</t>
        </is>
      </c>
      <c r="J66" s="13" t="inlineStr">
        <is>
          <t>A) Lebih Suka Kaedah Biasa &amp; Ambil Sendiri</t>
        </is>
      </c>
      <c r="K66" s="13" t="inlineStr">
        <is>
          <t>Kekerapan temujanji hospital (banyak TCA hampir setiap bulan)</t>
        </is>
      </c>
      <c r="L66" s="13" t="n">
        <v>1</v>
      </c>
      <c r="M66" s="13" t="inlineStr"/>
      <c r="N66" s="13" t="inlineStr"/>
    </row>
    <row r="67">
      <c r="A67" s="18" t="n">
        <v>46239.48609160879</v>
      </c>
      <c r="B67" s="16" t="n">
        <v>46239</v>
      </c>
      <c r="C67" s="16" t="n">
        <v>46237</v>
      </c>
      <c r="D67" s="14" t="inlineStr">
        <is>
          <t>SD00793254</t>
        </is>
      </c>
      <c r="E67" s="14" t="inlineStr">
        <is>
          <t>Waris</t>
        </is>
      </c>
      <c r="F67" s="14" t="inlineStr">
        <is>
          <t>51 - 60</t>
        </is>
      </c>
      <c r="G67" s="14" t="inlineStr">
        <is>
          <t>Tidak</t>
        </is>
      </c>
      <c r="H67" s="14" t="inlineStr">
        <is>
          <t>Perubatan (Semua)</t>
        </is>
      </c>
      <c r="I67" s="14" t="inlineStr">
        <is>
          <t>A</t>
        </is>
      </c>
      <c r="J67" s="14" t="inlineStr">
        <is>
          <t>A) Lebih Suka Kaedah Biasa &amp; Ambil Sendiri</t>
        </is>
      </c>
      <c r="K67" s="14" t="inlineStr">
        <is>
          <t>Kurang motivasi diri atau enggan mencuba sistem baharu</t>
        </is>
      </c>
      <c r="L67" s="14" t="n">
        <v>1</v>
      </c>
      <c r="M67" s="14" t="inlineStr"/>
      <c r="N67" s="14" t="inlineStr"/>
    </row>
    <row r="68">
      <c r="A68" s="17" t="n">
        <v>46239.58344184028</v>
      </c>
      <c r="B68" s="15" t="n">
        <v>46239</v>
      </c>
      <c r="C68" s="15" t="n">
        <v>46237</v>
      </c>
      <c r="D68" s="13" t="inlineStr">
        <is>
          <t>SD00891638</t>
        </is>
      </c>
      <c r="E68" s="13" t="inlineStr">
        <is>
          <t>Pesakit sendiri</t>
        </is>
      </c>
      <c r="F68" s="13" t="inlineStr">
        <is>
          <t>51 - 60</t>
        </is>
      </c>
      <c r="G68" s="13" t="inlineStr">
        <is>
          <t>Tidak</t>
        </is>
      </c>
      <c r="H68" s="13" t="inlineStr">
        <is>
          <t>Perubatan (Semua)</t>
        </is>
      </c>
      <c r="I68" s="13" t="inlineStr">
        <is>
          <t>A</t>
        </is>
      </c>
      <c r="J68" s="13" t="inlineStr">
        <is>
          <t>A) Lebih Suka Kaedah Biasa &amp; Ambil Sendiri</t>
        </is>
      </c>
      <c r="K68" s="13" t="inlineStr">
        <is>
          <t>Lebih selesa dengan kaedah biasa di kaunter</t>
        </is>
      </c>
      <c r="L68" s="13" t="n">
        <v>1</v>
      </c>
      <c r="M68" s="13" t="inlineStr"/>
      <c r="N68" s="13" t="inlineStr"/>
    </row>
    <row r="69">
      <c r="A69" s="18" t="n">
        <v>46241.3605318287</v>
      </c>
      <c r="B69" s="16" t="n">
        <v>46241</v>
      </c>
      <c r="C69" s="16" t="n">
        <v>46237</v>
      </c>
      <c r="D69" s="14" t="inlineStr">
        <is>
          <t>SD01340047</t>
        </is>
      </c>
      <c r="E69" s="14" t="inlineStr">
        <is>
          <t>Pesakit sendiri</t>
        </is>
      </c>
      <c r="F69" s="14" t="inlineStr">
        <is>
          <t>51 - 60</t>
        </is>
      </c>
      <c r="G69" s="14" t="inlineStr">
        <is>
          <t>Tidak</t>
        </is>
      </c>
      <c r="H69" s="14" t="inlineStr">
        <is>
          <t>Perubatan (Semua)</t>
        </is>
      </c>
      <c r="I69" s="14" t="inlineStr">
        <is>
          <t>A</t>
        </is>
      </c>
      <c r="J69" s="14" t="inlineStr">
        <is>
          <t>A) Lebih Suka Kaedah Biasa &amp; Ambil Sendiri</t>
        </is>
      </c>
      <c r="K69" s="14" t="inlineStr">
        <is>
          <t>Pesakit tinggal berdekatan</t>
        </is>
      </c>
      <c r="L69" s="14" t="n">
        <v>1</v>
      </c>
      <c r="M69" s="14" t="inlineStr"/>
      <c r="N69" s="14" t="inlineStr"/>
    </row>
    <row r="70">
      <c r="A70" s="17" t="n">
        <v>46241.42417391203</v>
      </c>
      <c r="B70" s="15" t="n">
        <v>46241</v>
      </c>
      <c r="C70" s="15" t="n">
        <v>46237</v>
      </c>
      <c r="D70" s="13" t="inlineStr">
        <is>
          <t>SD00377620</t>
        </is>
      </c>
      <c r="E70" s="13" t="inlineStr">
        <is>
          <t>Waris</t>
        </is>
      </c>
      <c r="F70" s="13" t="inlineStr">
        <is>
          <t>61 - 70</t>
        </is>
      </c>
      <c r="G70" s="13" t="inlineStr">
        <is>
          <t>Ya</t>
        </is>
      </c>
      <c r="H70" s="13" t="inlineStr">
        <is>
          <t>Hepatologi</t>
        </is>
      </c>
      <c r="I70" s="13" t="inlineStr">
        <is>
          <t>A</t>
        </is>
      </c>
      <c r="J70" s="13" t="inlineStr">
        <is>
          <t>A) Lebih Suka Kaedah Biasa &amp; Ambil Sendiri</t>
        </is>
      </c>
      <c r="K70" s="13" t="inlineStr">
        <is>
          <t>Lebih selesa dengan kaedah biasa di kaunter</t>
        </is>
      </c>
      <c r="L70" s="13" t="n">
        <v>1</v>
      </c>
      <c r="M70" s="13" t="inlineStr"/>
      <c r="N70" s="13" t="inlineStr"/>
    </row>
    <row r="71">
      <c r="A71" s="18" t="n">
        <v>46241.42927471064</v>
      </c>
      <c r="B71" s="16" t="n">
        <v>46241</v>
      </c>
      <c r="C71" s="16" t="n">
        <v>46237</v>
      </c>
      <c r="D71" s="14" t="inlineStr">
        <is>
          <t>SD00504430</t>
        </is>
      </c>
      <c r="E71" s="14" t="inlineStr">
        <is>
          <t>Pesakit sendiri</t>
        </is>
      </c>
      <c r="F71" s="14" t="inlineStr">
        <is>
          <t>71 - 80</t>
        </is>
      </c>
      <c r="G71" s="14" t="inlineStr">
        <is>
          <t>Ya</t>
        </is>
      </c>
      <c r="H71" s="14" t="inlineStr">
        <is>
          <t>Orthopedic</t>
        </is>
      </c>
      <c r="I71" s="14" t="inlineStr">
        <is>
          <t>A</t>
        </is>
      </c>
      <c r="J71" s="14" t="inlineStr">
        <is>
          <t>A) Lebih Suka Kaedah Biasa &amp; Ambil Sendiri</t>
        </is>
      </c>
      <c r="K71" s="14" t="inlineStr">
        <is>
          <t>Lebih selesa dengan kaedah biasa di kaunter | Kurang motivasi diri atau enggan mencuba sistem baharu</t>
        </is>
      </c>
      <c r="L71" s="14" t="n">
        <v>2</v>
      </c>
      <c r="M71" s="14" t="inlineStr"/>
      <c r="N71" s="14" t="inlineStr"/>
    </row>
    <row r="72">
      <c r="A72" s="17" t="n">
        <v>46241.43998181713</v>
      </c>
      <c r="B72" s="15" t="n">
        <v>46241</v>
      </c>
      <c r="C72" s="15" t="n">
        <v>46237</v>
      </c>
      <c r="D72" s="13" t="inlineStr">
        <is>
          <t>SD01505363</t>
        </is>
      </c>
      <c r="E72" s="13" t="inlineStr">
        <is>
          <t>Pesakit sendiri</t>
        </is>
      </c>
      <c r="F72" s="13" t="inlineStr">
        <is>
          <t>51 - 60</t>
        </is>
      </c>
      <c r="G72" s="13" t="inlineStr">
        <is>
          <t>Tidak</t>
        </is>
      </c>
      <c r="H72" s="13" t="inlineStr">
        <is>
          <t>Pulmonari</t>
        </is>
      </c>
      <c r="I72" s="13" t="inlineStr">
        <is>
          <t>A</t>
        </is>
      </c>
      <c r="J72" s="13" t="inlineStr">
        <is>
          <t>A) Lebih Suka Kaedah Biasa &amp; Ambil Sendiri</t>
        </is>
      </c>
      <c r="K72" s="13" t="inlineStr">
        <is>
          <t>Kekerapan temujanji hospital (banyak TCA hampir setiap bulan)</t>
        </is>
      </c>
      <c r="L72" s="13" t="n">
        <v>1</v>
      </c>
      <c r="M72" s="13" t="inlineStr"/>
      <c r="N72" s="13" t="inlineStr"/>
    </row>
    <row r="73">
      <c r="A73" s="18" t="n">
        <v>46241.45066111111</v>
      </c>
      <c r="B73" s="16" t="n">
        <v>46241</v>
      </c>
      <c r="C73" s="16" t="n">
        <v>46237</v>
      </c>
      <c r="D73" s="14" t="inlineStr">
        <is>
          <t>SD00039757</t>
        </is>
      </c>
      <c r="E73" s="14" t="inlineStr">
        <is>
          <t>Pesakit sendiri</t>
        </is>
      </c>
      <c r="F73" s="14" t="inlineStr">
        <is>
          <t>61 - 70</t>
        </is>
      </c>
      <c r="G73" s="14" t="inlineStr">
        <is>
          <t>Ya</t>
        </is>
      </c>
      <c r="H73" s="14" t="inlineStr">
        <is>
          <t>Nefrologi</t>
        </is>
      </c>
      <c r="I73" s="14" t="inlineStr">
        <is>
          <t>A</t>
        </is>
      </c>
      <c r="J73" s="14" t="inlineStr">
        <is>
          <t>A) Lebih Suka Kaedah Biasa &amp; Ambil Sendiri</t>
        </is>
      </c>
      <c r="K73" s="14" t="inlineStr">
        <is>
          <t>Lebih selesa dengan kaedah biasa di kaunter</t>
        </is>
      </c>
      <c r="L73" s="14" t="n">
        <v>1</v>
      </c>
      <c r="M73" s="14" t="inlineStr"/>
      <c r="N73" s="14" t="inlineStr"/>
    </row>
    <row r="74">
      <c r="A74" s="17" t="n">
        <v>46244.35366478009</v>
      </c>
      <c r="B74" s="15" t="n">
        <v>46244</v>
      </c>
      <c r="C74" s="15" t="n">
        <v>46244</v>
      </c>
      <c r="D74" s="13" t="inlineStr">
        <is>
          <t>SD00476901</t>
        </is>
      </c>
      <c r="E74" s="13" t="inlineStr">
        <is>
          <t>Pesakit sendiri</t>
        </is>
      </c>
      <c r="F74" s="13" t="inlineStr">
        <is>
          <t>61 - 70</t>
        </is>
      </c>
      <c r="G74" s="13" t="inlineStr">
        <is>
          <t>Ya</t>
        </is>
      </c>
      <c r="H74" s="13" t="inlineStr">
        <is>
          <t>Hepatologi</t>
        </is>
      </c>
      <c r="I74" s="13" t="inlineStr">
        <is>
          <t>A</t>
        </is>
      </c>
      <c r="J74" s="13" t="inlineStr">
        <is>
          <t>A) Lebih Suka Kaedah Biasa &amp; Ambil Sendiri</t>
        </is>
      </c>
      <c r="K74" s="13" t="inlineStr">
        <is>
          <t>Lebih selesa dengan kaedah biasa di kaunter</t>
        </is>
      </c>
      <c r="L74" s="13" t="n">
        <v>1</v>
      </c>
      <c r="M74" s="13" t="inlineStr"/>
      <c r="N74" s="13" t="inlineStr"/>
    </row>
    <row r="75">
      <c r="A75" s="18" t="n">
        <v>46244.46722298611</v>
      </c>
      <c r="B75" s="16" t="n">
        <v>46244</v>
      </c>
      <c r="C75" s="16" t="n">
        <v>46244</v>
      </c>
      <c r="D75" s="14" t="inlineStr">
        <is>
          <t>SD01359044</t>
        </is>
      </c>
      <c r="E75" s="14" t="inlineStr">
        <is>
          <t>Waris</t>
        </is>
      </c>
      <c r="F75" s="14" t="inlineStr">
        <is>
          <t>51 - 60</t>
        </is>
      </c>
      <c r="G75" s="14" t="inlineStr">
        <is>
          <t>Tidak</t>
        </is>
      </c>
      <c r="H75" s="14" t="inlineStr">
        <is>
          <t>Rehabilitasi</t>
        </is>
      </c>
      <c r="I75" s="14" t="inlineStr">
        <is>
          <t>A</t>
        </is>
      </c>
      <c r="J75" s="14" t="inlineStr">
        <is>
          <t>A) Lebih Suka Kaedah Biasa &amp; Ambil Sendiri</t>
        </is>
      </c>
      <c r="K75" s="14" t="inlineStr">
        <is>
          <t>Kekerapan temujanji hospital (banyak TCA hampir setiap bulan)</t>
        </is>
      </c>
      <c r="L75" s="14" t="n">
        <v>1</v>
      </c>
      <c r="M75" s="14" t="inlineStr"/>
      <c r="N75" s="14" t="inlineStr"/>
    </row>
    <row r="76">
      <c r="A76" s="17" t="n">
        <v>46244.48155993056</v>
      </c>
      <c r="B76" s="15" t="n">
        <v>46244</v>
      </c>
      <c r="C76" s="15" t="n">
        <v>46244</v>
      </c>
      <c r="D76" s="13" t="inlineStr">
        <is>
          <t>SD00036605</t>
        </is>
      </c>
      <c r="E76" s="13" t="inlineStr">
        <is>
          <t>Waris</t>
        </is>
      </c>
      <c r="F76" s="13" t="inlineStr">
        <is>
          <t>51 - 60</t>
        </is>
      </c>
      <c r="G76" s="13" t="inlineStr">
        <is>
          <t>Tidak</t>
        </is>
      </c>
      <c r="H76" s="13" t="inlineStr">
        <is>
          <t>Nefrologi</t>
        </is>
      </c>
      <c r="I76" s="13" t="inlineStr">
        <is>
          <t>A</t>
        </is>
      </c>
      <c r="J76" s="13" t="inlineStr">
        <is>
          <t>A) Lebih Suka Kaedah Biasa &amp; Ambil Sendiri</t>
        </is>
      </c>
      <c r="K76" s="13" t="inlineStr">
        <is>
          <t>Kekerapan temujanji hospital (banyak TCA hampir setiap bulan)</t>
        </is>
      </c>
      <c r="L76" s="13" t="n">
        <v>1</v>
      </c>
      <c r="M76" s="13" t="inlineStr"/>
      <c r="N76" s="13" t="inlineStr"/>
    </row>
    <row r="77">
      <c r="A77" s="18" t="n">
        <v>46245.48145152778</v>
      </c>
      <c r="B77" s="16" t="n">
        <v>46245</v>
      </c>
      <c r="C77" s="16" t="n">
        <v>46244</v>
      </c>
      <c r="D77" s="14" t="inlineStr">
        <is>
          <t>SD00246730</t>
        </is>
      </c>
      <c r="E77" s="14" t="inlineStr">
        <is>
          <t>Pesakit sendiri</t>
        </is>
      </c>
      <c r="F77" s="14" t="inlineStr">
        <is>
          <t>51 - 60</t>
        </is>
      </c>
      <c r="G77" s="14" t="inlineStr">
        <is>
          <t>Tidak</t>
        </is>
      </c>
      <c r="H77" s="14" t="inlineStr">
        <is>
          <t>Perubatan (Semua)</t>
        </is>
      </c>
      <c r="I77" s="14" t="inlineStr">
        <is>
          <t>A</t>
        </is>
      </c>
      <c r="J77" s="14" t="inlineStr">
        <is>
          <t>A) Lebih Suka Kaedah Biasa &amp; Ambil Sendiri</t>
        </is>
      </c>
      <c r="K77" s="14" t="inlineStr">
        <is>
          <t>Kurang motivasi diri atau enggan mencuba sistem baharu</t>
        </is>
      </c>
      <c r="L77" s="14" t="n">
        <v>1</v>
      </c>
      <c r="M77" s="14" t="inlineStr">
        <is>
          <t>Teks bebas menyebut jabatan lain: Penyakit Berjangkit (ID)</t>
        </is>
      </c>
      <c r="N77" s="14" t="inlineStr"/>
    </row>
    <row r="78">
      <c r="A78" s="17" t="n">
        <v>46245.48215574074</v>
      </c>
      <c r="B78" s="15" t="n">
        <v>46245</v>
      </c>
      <c r="C78" s="15" t="n">
        <v>46244</v>
      </c>
      <c r="D78" s="13" t="inlineStr">
        <is>
          <t>SD01166074</t>
        </is>
      </c>
      <c r="E78" s="13" t="inlineStr">
        <is>
          <t>Pesakit sendiri</t>
        </is>
      </c>
      <c r="F78" s="13" t="inlineStr">
        <is>
          <t>Tidak Direkod</t>
        </is>
      </c>
      <c r="G78" s="13" t="inlineStr">
        <is>
          <t>Tidak Direkod</t>
        </is>
      </c>
      <c r="H78" s="13" t="inlineStr">
        <is>
          <t>Perubatan (Semua)</t>
        </is>
      </c>
      <c r="I78" s="13" t="inlineStr">
        <is>
          <t>A</t>
        </is>
      </c>
      <c r="J78" s="13" t="inlineStr">
        <is>
          <t>A) Lebih Suka Kaedah Biasa &amp; Ambil Sendiri</t>
        </is>
      </c>
      <c r="K78" s="13" t="inlineStr">
        <is>
          <t>Kurang motivasi diri atau enggan mencuba sistem baharu</t>
        </is>
      </c>
      <c r="L78" s="13" t="n">
        <v>1</v>
      </c>
      <c r="M78" s="13" t="inlineStr"/>
      <c r="N78" s="13" t="inlineStr"/>
    </row>
    <row r="79">
      <c r="A79" s="18" t="n">
        <v>46245.48300063657</v>
      </c>
      <c r="B79" s="16" t="n">
        <v>46245</v>
      </c>
      <c r="C79" s="16" t="n">
        <v>46244</v>
      </c>
      <c r="D79" s="14" t="inlineStr">
        <is>
          <t>SD01432339</t>
        </is>
      </c>
      <c r="E79" s="14" t="inlineStr">
        <is>
          <t>Waris</t>
        </is>
      </c>
      <c r="F79" s="14" t="inlineStr">
        <is>
          <t>81 - 90</t>
        </is>
      </c>
      <c r="G79" s="14" t="inlineStr">
        <is>
          <t>Ya</t>
        </is>
      </c>
      <c r="H79" s="14" t="inlineStr">
        <is>
          <t>Orthopedic</t>
        </is>
      </c>
      <c r="I79" s="14" t="inlineStr">
        <is>
          <t>A</t>
        </is>
      </c>
      <c r="J79" s="14" t="inlineStr">
        <is>
          <t>A) Lebih Suka Kaedah Biasa &amp; Ambil Sendiri</t>
        </is>
      </c>
      <c r="K79" s="14" t="inlineStr">
        <is>
          <t>Lebih selesa dengan kaedah biasa di kaunter</t>
        </is>
      </c>
      <c r="L79" s="14" t="n">
        <v>1</v>
      </c>
      <c r="M79" s="14" t="inlineStr"/>
      <c r="N79" s="14" t="inlineStr"/>
    </row>
    <row r="80">
      <c r="A80" s="17" t="n">
        <v>46245.48945304398</v>
      </c>
      <c r="B80" s="15" t="n">
        <v>46245</v>
      </c>
      <c r="C80" s="15" t="n">
        <v>46244</v>
      </c>
      <c r="D80" s="13" t="inlineStr">
        <is>
          <t>SD01293551</t>
        </is>
      </c>
      <c r="E80" s="13" t="inlineStr">
        <is>
          <t>Pesakit sendiri</t>
        </is>
      </c>
      <c r="F80" s="13" t="inlineStr">
        <is>
          <t>51 - 60</t>
        </is>
      </c>
      <c r="G80" s="13" t="inlineStr">
        <is>
          <t>Tidak</t>
        </is>
      </c>
      <c r="H80" s="13" t="inlineStr">
        <is>
          <t>Nefrologi</t>
        </is>
      </c>
      <c r="I80" s="13" t="inlineStr">
        <is>
          <t>A</t>
        </is>
      </c>
      <c r="J80" s="13" t="inlineStr">
        <is>
          <t>A) Lebih Suka Kaedah Biasa &amp; Ambil Sendiri</t>
        </is>
      </c>
      <c r="K80" s="13" t="inlineStr">
        <is>
          <t>Kurang motivasi diri atau enggan mencuba sistem baharu</t>
        </is>
      </c>
      <c r="L80" s="13" t="n">
        <v>1</v>
      </c>
      <c r="M80" s="13" t="inlineStr"/>
      <c r="N80" s="13" t="inlineStr"/>
    </row>
    <row r="81">
      <c r="A81" s="18" t="n">
        <v>46246.51347167824</v>
      </c>
      <c r="B81" s="16" t="n">
        <v>46246</v>
      </c>
      <c r="C81" s="16" t="n">
        <v>46244</v>
      </c>
      <c r="D81" s="14" t="inlineStr">
        <is>
          <t>SD00347932</t>
        </is>
      </c>
      <c r="E81" s="14" t="inlineStr">
        <is>
          <t>Waris</t>
        </is>
      </c>
      <c r="F81" s="14" t="inlineStr">
        <is>
          <t>41 - 50</t>
        </is>
      </c>
      <c r="G81" s="14" t="inlineStr">
        <is>
          <t>Tidak</t>
        </is>
      </c>
      <c r="H81" s="14" t="inlineStr">
        <is>
          <t>O&amp;G</t>
        </is>
      </c>
      <c r="I81" s="14" t="inlineStr">
        <is>
          <t>A</t>
        </is>
      </c>
      <c r="J81" s="14" t="inlineStr">
        <is>
          <t>A) Lebih Suka Kaedah Biasa &amp; Ambil Sendiri</t>
        </is>
      </c>
      <c r="K81" s="14" t="inlineStr">
        <is>
          <t>Kurang motivasi diri atau enggan mencuba sistem baharu</t>
        </is>
      </c>
      <c r="L81" s="14" t="n">
        <v>1</v>
      </c>
      <c r="M81" s="14" t="inlineStr"/>
      <c r="N81" s="14" t="inlineStr"/>
    </row>
    <row r="82">
      <c r="A82" s="17" t="n">
        <v>46246.51414237268</v>
      </c>
      <c r="B82" s="15" t="n">
        <v>46246</v>
      </c>
      <c r="C82" s="15" t="n">
        <v>46244</v>
      </c>
      <c r="D82" s="13" t="inlineStr">
        <is>
          <t>SD01173033</t>
        </is>
      </c>
      <c r="E82" s="13" t="inlineStr">
        <is>
          <t>Pesakit sendiri</t>
        </is>
      </c>
      <c r="F82" s="13" t="inlineStr">
        <is>
          <t>61 - 70</t>
        </is>
      </c>
      <c r="G82" s="13" t="inlineStr">
        <is>
          <t>Ya</t>
        </is>
      </c>
      <c r="H82" s="13" t="inlineStr">
        <is>
          <t>Perubatan (Semua)</t>
        </is>
      </c>
      <c r="I82" s="13" t="inlineStr">
        <is>
          <t>A</t>
        </is>
      </c>
      <c r="J82" s="13" t="inlineStr">
        <is>
          <t>A) Lebih Suka Kaedah Biasa &amp; Ambil Sendiri</t>
        </is>
      </c>
      <c r="K82" s="13" t="inlineStr">
        <is>
          <t>Kurang motivasi diri atau enggan mencuba sistem baharu</t>
        </is>
      </c>
      <c r="L82" s="13" t="n">
        <v>1</v>
      </c>
      <c r="M82" s="13" t="inlineStr"/>
      <c r="N82" s="13" t="inlineStr"/>
    </row>
    <row r="83">
      <c r="A83" s="18" t="n">
        <v>46246.51627918982</v>
      </c>
      <c r="B83" s="16" t="n">
        <v>46246</v>
      </c>
      <c r="C83" s="16" t="n">
        <v>46244</v>
      </c>
      <c r="D83" s="14" t="inlineStr">
        <is>
          <t>SD00090457</t>
        </is>
      </c>
      <c r="E83" s="14" t="inlineStr">
        <is>
          <t>Waris</t>
        </is>
      </c>
      <c r="F83" s="14" t="inlineStr">
        <is>
          <t>51 - 60</t>
        </is>
      </c>
      <c r="G83" s="14" t="inlineStr">
        <is>
          <t>Tidak</t>
        </is>
      </c>
      <c r="H83" s="14" t="inlineStr">
        <is>
          <t>Perubatan (Semua)</t>
        </is>
      </c>
      <c r="I83" s="14" t="inlineStr">
        <is>
          <t>A</t>
        </is>
      </c>
      <c r="J83" s="14" t="inlineStr">
        <is>
          <t>A) Lebih Suka Kaedah Biasa &amp; Ambil Sendiri</t>
        </is>
      </c>
      <c r="K83" s="14" t="inlineStr">
        <is>
          <t>Pesakit tinggal berdekatan</t>
        </is>
      </c>
      <c r="L83" s="14" t="n">
        <v>1</v>
      </c>
      <c r="M83" s="14" t="inlineStr">
        <is>
          <t>Teks bebas menyebut jabatan lain: Endokrin</t>
        </is>
      </c>
      <c r="N83" s="14" t="inlineStr"/>
    </row>
    <row r="84">
      <c r="A84" s="17" t="n">
        <v>46246.5366747338</v>
      </c>
      <c r="B84" s="15" t="n">
        <v>46246</v>
      </c>
      <c r="C84" s="15" t="n">
        <v>46244</v>
      </c>
      <c r="D84" s="13" t="inlineStr">
        <is>
          <t>-</t>
        </is>
      </c>
      <c r="E84" s="13" t="inlineStr">
        <is>
          <t>Pesakit sendiri</t>
        </is>
      </c>
      <c r="F84" s="13" t="inlineStr">
        <is>
          <t>Tidak Direkod</t>
        </is>
      </c>
      <c r="G84" s="13" t="inlineStr">
        <is>
          <t>Tidak Direkod</t>
        </is>
      </c>
      <c r="H84" s="13" t="inlineStr">
        <is>
          <t>O&amp;G</t>
        </is>
      </c>
      <c r="I84" s="13" t="inlineStr">
        <is>
          <t>E</t>
        </is>
      </c>
      <c r="J84" s="13" t="inlineStr">
        <is>
          <t>E) Halangan Teknologi &amp; Celik Digital</t>
        </is>
      </c>
      <c r="K84" s="13" t="inlineStr">
        <is>
          <t>Kesusahan menguasai penggunaan telefon pintar dan apps (eg. golongan OKU, orang tua)</t>
        </is>
      </c>
      <c r="L84" s="13" t="n">
        <v>1</v>
      </c>
      <c r="M84" s="13" t="inlineStr"/>
      <c r="N84" s="13" t="inlineStr"/>
    </row>
    <row r="85">
      <c r="A85" s="18" t="n">
        <v>46247.3851909375</v>
      </c>
      <c r="B85" s="16" t="n">
        <v>46247</v>
      </c>
      <c r="C85" s="16" t="n">
        <v>46244</v>
      </c>
      <c r="D85" s="14" t="inlineStr">
        <is>
          <t>SD00064948</t>
        </is>
      </c>
      <c r="E85" s="14" t="inlineStr">
        <is>
          <t>Pesakit sendiri</t>
        </is>
      </c>
      <c r="F85" s="14" t="inlineStr">
        <is>
          <t>51 - 60</t>
        </is>
      </c>
      <c r="G85" s="14" t="inlineStr">
        <is>
          <t>Tidak</t>
        </is>
      </c>
      <c r="H85" s="14" t="inlineStr">
        <is>
          <t>Orthopedic</t>
        </is>
      </c>
      <c r="I85" s="14" t="inlineStr">
        <is>
          <t>A</t>
        </is>
      </c>
      <c r="J85" s="14" t="inlineStr">
        <is>
          <t>A) Lebih Suka Kaedah Biasa &amp; Ambil Sendiri</t>
        </is>
      </c>
      <c r="K85" s="14" t="inlineStr">
        <is>
          <t>Lebih selesa dengan kaedah biasa di kaunter | Kurang motivasi diri atau enggan mencuba sistem baharu</t>
        </is>
      </c>
      <c r="L85" s="14" t="n">
        <v>2</v>
      </c>
      <c r="M85" s="14" t="inlineStr"/>
      <c r="N85" s="14" t="inlineStr"/>
    </row>
    <row r="86">
      <c r="A86" s="17" t="n">
        <v>46247.43510043981</v>
      </c>
      <c r="B86" s="15" t="n">
        <v>46247</v>
      </c>
      <c r="C86" s="15" t="n">
        <v>46244</v>
      </c>
      <c r="D86" s="13" t="inlineStr">
        <is>
          <t>SD00952281</t>
        </is>
      </c>
      <c r="E86" s="13" t="inlineStr">
        <is>
          <t>Pesakit sendiri</t>
        </is>
      </c>
      <c r="F86" s="13" t="inlineStr">
        <is>
          <t>51 - 60</t>
        </is>
      </c>
      <c r="G86" s="13" t="inlineStr">
        <is>
          <t>Tidak</t>
        </is>
      </c>
      <c r="H86" s="13" t="inlineStr">
        <is>
          <t>Psikiatri</t>
        </is>
      </c>
      <c r="I86" s="13" t="inlineStr">
        <is>
          <t>A</t>
        </is>
      </c>
      <c r="J86" s="13" t="inlineStr">
        <is>
          <t>A) Lebih Suka Kaedah Biasa &amp; Ambil Sendiri</t>
        </is>
      </c>
      <c r="K86" s="13" t="inlineStr">
        <is>
          <t>Kurang motivasi diri atau enggan mencuba sistem baharu</t>
        </is>
      </c>
      <c r="L86" s="13" t="n">
        <v>1</v>
      </c>
      <c r="M86" s="13" t="inlineStr"/>
      <c r="N86" s="13" t="inlineStr"/>
    </row>
    <row r="87">
      <c r="A87" s="18" t="n">
        <v>46247.66334423611</v>
      </c>
      <c r="B87" s="16" t="n">
        <v>46247</v>
      </c>
      <c r="C87" s="16" t="n">
        <v>46244</v>
      </c>
      <c r="D87" s="14" t="inlineStr">
        <is>
          <t>SD00120410</t>
        </is>
      </c>
      <c r="E87" s="14" t="inlineStr">
        <is>
          <t>Pesakit sendiri</t>
        </is>
      </c>
      <c r="F87" s="14" t="inlineStr">
        <is>
          <t>51 - 60</t>
        </is>
      </c>
      <c r="G87" s="14" t="inlineStr">
        <is>
          <t>Tidak</t>
        </is>
      </c>
      <c r="H87" s="14" t="inlineStr">
        <is>
          <t>Orthopedic</t>
        </is>
      </c>
      <c r="I87" s="14" t="inlineStr">
        <is>
          <t>A</t>
        </is>
      </c>
      <c r="J87" s="14" t="inlineStr">
        <is>
          <t>A) Lebih Suka Kaedah Biasa &amp; Ambil Sendiri</t>
        </is>
      </c>
      <c r="K87" s="14" t="inlineStr">
        <is>
          <t>Kekerapan temujanji hospital (banyak TCA hampir setiap bulan)</t>
        </is>
      </c>
      <c r="L87" s="14" t="n">
        <v>1</v>
      </c>
      <c r="M87" s="14" t="inlineStr"/>
      <c r="N87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40" customWidth="1" min="5" max="5"/>
    <col width="29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14" customWidth="1" min="13" max="13"/>
    <col width="25" customWidth="1" min="14" max="14"/>
    <col width="25" customWidth="1" min="15" max="15"/>
    <col width="12" customWidth="1" min="16" max="16"/>
    <col width="16" customWidth="1" min="17" max="17"/>
  </cols>
  <sheetData>
    <row r="1">
      <c r="A1" t="inlineStr">
        <is>
          <t>Timestamp</t>
        </is>
      </c>
      <c r="B1" t="inlineStr">
        <is>
          <t>Column 1</t>
        </is>
      </c>
      <c r="C1" t="inlineStr">
        <is>
          <t>Nama Pesakit</t>
        </is>
      </c>
      <c r="D1" t="inlineStr">
        <is>
          <t>Status Pesakit Yang Datang</t>
        </is>
      </c>
      <c r="E1" t="inlineStr">
        <is>
          <t>Sebab Penolakan</t>
        </is>
      </c>
      <c r="F1" t="inlineStr">
        <is>
          <t>Jabatan</t>
        </is>
      </c>
      <c r="G1" t="inlineStr">
        <is>
          <t>Sila nyatakan Jabatan sekiranya memilih LAIN-LAIN</t>
        </is>
      </c>
      <c r="H1" t="inlineStr">
        <is>
          <t>A) Lebih Suka Kaedah Biasa &amp; Ambil Sendiri</t>
        </is>
      </c>
      <c r="I1" t="inlineStr">
        <is>
          <t>B) Kebimbangan Terhadap Kesilapan Ubat &amp; Konsultasi</t>
        </is>
      </c>
      <c r="J1" t="inlineStr">
        <is>
          <t>C) Isu Spesifik Berkaitan Ubat Melalui Pos (UMP)</t>
        </is>
      </c>
      <c r="K1" t="inlineStr">
        <is>
          <t>D) Isu Spesifik Berkaitan Farmasi Pandu Lalu (FPL)</t>
        </is>
      </c>
      <c r="L1" t="inlineStr">
        <is>
          <t>E) Halangan Teknologi &amp; Celik Digital</t>
        </is>
      </c>
      <c r="M1" t="inlineStr">
        <is>
          <t>Umur Pesakit</t>
        </is>
      </c>
      <c r="N1" t="inlineStr">
        <is>
          <t>Sebab Penolakan [Row 2]</t>
        </is>
      </c>
      <c r="O1" t="inlineStr">
        <is>
          <t>Sebab Penolakan [Row 3]</t>
        </is>
      </c>
      <c r="P1" t="inlineStr">
        <is>
          <t>Column 9</t>
        </is>
      </c>
      <c r="Q1" t="inlineStr">
        <is>
          <t>Nama Dispenser</t>
        </is>
      </c>
    </row>
    <row r="2">
      <c r="A2" s="19" t="n">
        <v>46219.40965927083</v>
      </c>
      <c r="B2" t="inlineStr">
        <is>
          <t>sd12456</t>
        </is>
      </c>
      <c r="D2" t="inlineStr">
        <is>
          <t>Pesakit sendiri</t>
        </is>
      </c>
      <c r="E2" t="inlineStr">
        <is>
          <t>Lebih Suka Kaedah Biasa &amp; Ambil Sendiri</t>
        </is>
      </c>
      <c r="F2" t="inlineStr">
        <is>
          <t>Nefrologi</t>
        </is>
      </c>
      <c r="G2" t="inlineStr">
        <is>
          <t>ss</t>
        </is>
      </c>
      <c r="H2" t="inlineStr">
        <is>
          <t>Pesakit tinggal berdekatan, Kekerapan temujanji hospital (banyak TCA hampir setiap bulan)</t>
        </is>
      </c>
    </row>
    <row r="3">
      <c r="A3" s="19" t="n">
        <v>46219.41642604167</v>
      </c>
      <c r="B3" t="inlineStr">
        <is>
          <t>sd12122</t>
        </is>
      </c>
      <c r="D3" t="inlineStr">
        <is>
          <t>Pesakit sendiri</t>
        </is>
      </c>
      <c r="E3" t="inlineStr">
        <is>
          <t>A) Lebih Suka Kaedah Biasa &amp; Ambil Sendiri</t>
        </is>
      </c>
      <c r="F3" t="inlineStr">
        <is>
          <t>Pulmonari</t>
        </is>
      </c>
      <c r="H3" t="inlineStr">
        <is>
          <t>Pesakit tinggal berdekatan, Kekerapan temujanji hospital (banyak TCA hampir setiap bulan)</t>
        </is>
      </c>
      <c r="M3" t="inlineStr">
        <is>
          <t>0 - 10</t>
        </is>
      </c>
    </row>
    <row r="4">
      <c r="A4" s="19" t="n">
        <v>46219.42868055555</v>
      </c>
      <c r="B4" t="inlineStr">
        <is>
          <t>sd00037834</t>
        </is>
      </c>
      <c r="D4" t="inlineStr">
        <is>
          <t>Pesakit sendiri</t>
        </is>
      </c>
      <c r="E4" t="inlineStr">
        <is>
          <t>A) Lebih Suka Kaedah Biasa &amp; Ambil Sendiri</t>
        </is>
      </c>
      <c r="F4" t="inlineStr">
        <is>
          <t>Perubatan (Semua)</t>
        </is>
      </c>
      <c r="G4" t="inlineStr">
        <is>
          <t>ortho, medical, cardio</t>
        </is>
      </c>
      <c r="H4" t="inlineStr">
        <is>
          <t>Pesakit tinggal berdekatan, Kekerapan temujanji hospital (banyak TCA hampir setiap bulan), Lebih selesa dengan kaedah biasa di kaunter</t>
        </is>
      </c>
      <c r="M4" t="inlineStr">
        <is>
          <t>71 - 80</t>
        </is>
      </c>
    </row>
    <row r="5">
      <c r="A5" s="19" t="n">
        <v>46219.48789740741</v>
      </c>
      <c r="B5" t="inlineStr">
        <is>
          <t xml:space="preserve">SD00060182 </t>
        </is>
      </c>
      <c r="D5" t="inlineStr">
        <is>
          <t>Waris</t>
        </is>
      </c>
      <c r="F5" t="inlineStr">
        <is>
          <t>Orthopedic</t>
        </is>
      </c>
      <c r="G5" t="inlineStr">
        <is>
          <t>-</t>
        </is>
      </c>
    </row>
    <row r="6">
      <c r="A6" s="19" t="n">
        <v>46219.5211774537</v>
      </c>
      <c r="B6" t="inlineStr">
        <is>
          <t>SD00458309</t>
        </is>
      </c>
      <c r="D6" t="inlineStr">
        <is>
          <t>Pesakit sendiri</t>
        </is>
      </c>
      <c r="E6" t="inlineStr">
        <is>
          <t>E) Halangan Teknologi &amp; Celik Digital</t>
        </is>
      </c>
      <c r="F6" t="inlineStr">
        <is>
          <t>Orthopedic</t>
        </is>
      </c>
      <c r="G6" t="inlineStr">
        <is>
          <t>Pemastautin tetap (IC) merah tidak dapat guna MyUbat</t>
        </is>
      </c>
      <c r="M6" t="inlineStr">
        <is>
          <t>71 - 80</t>
        </is>
      </c>
    </row>
    <row r="7">
      <c r="A7" s="19" t="n">
        <v>46219.594240625</v>
      </c>
      <c r="B7" t="inlineStr">
        <is>
          <t>SD00545511</t>
        </is>
      </c>
      <c r="D7" t="inlineStr">
        <is>
          <t>Waris</t>
        </is>
      </c>
      <c r="E7" t="inlineStr">
        <is>
          <t>E) Halangan Teknologi &amp; Celik Digital</t>
        </is>
      </c>
      <c r="F7" t="inlineStr">
        <is>
          <t>Psikiatri</t>
        </is>
      </c>
      <c r="L7" t="inlineStr">
        <is>
          <t>Pesakit tiada telefon pintar</t>
        </is>
      </c>
      <c r="M7" t="inlineStr">
        <is>
          <t>61 - 70</t>
        </is>
      </c>
    </row>
    <row r="8">
      <c r="A8" s="19" t="n">
        <v>46219.62071479166</v>
      </c>
      <c r="B8" t="inlineStr">
        <is>
          <t>SD00383515</t>
        </is>
      </c>
      <c r="D8" t="inlineStr">
        <is>
          <t>Pesakit sendiri</t>
        </is>
      </c>
      <c r="E8" t="inlineStr">
        <is>
          <t>A) Lebih Suka Kaedah Biasa &amp; Ambil Sendiri</t>
        </is>
      </c>
      <c r="F8" t="inlineStr">
        <is>
          <t>LAIN - LAIN (SILA NYATAKAN)</t>
        </is>
      </c>
      <c r="G8" t="inlineStr">
        <is>
          <t>OPTHAL</t>
        </is>
      </c>
      <c r="H8" t="inlineStr">
        <is>
          <t>Lebih selesa dengan kaedah biasa di kaunter</t>
        </is>
      </c>
      <c r="M8" t="inlineStr">
        <is>
          <t>61 - 70</t>
        </is>
      </c>
    </row>
    <row r="9">
      <c r="A9" s="19" t="n">
        <v>46219.63369045139</v>
      </c>
      <c r="B9" t="inlineStr">
        <is>
          <t>SD01528876</t>
        </is>
      </c>
      <c r="D9" t="inlineStr">
        <is>
          <t>Pesakit sendiri</t>
        </is>
      </c>
      <c r="E9" t="inlineStr">
        <is>
          <t>A) Lebih Suka Kaedah Biasa &amp; Ambil Sendiri</t>
        </is>
      </c>
      <c r="F9" t="inlineStr">
        <is>
          <t>Perubatan (Semua)</t>
        </is>
      </c>
      <c r="H9" t="inlineStr">
        <is>
          <t>Lebih selesa dengan kaedah biasa di kaunter</t>
        </is>
      </c>
      <c r="M9" t="inlineStr">
        <is>
          <t>71 - 80</t>
        </is>
      </c>
    </row>
    <row r="10">
      <c r="A10" s="19" t="n">
        <v>46219.64494118056</v>
      </c>
      <c r="B10" t="inlineStr">
        <is>
          <t xml:space="preserve">SD00142483 </t>
        </is>
      </c>
      <c r="D10" t="inlineStr">
        <is>
          <t>Pesakit sendiri</t>
        </is>
      </c>
      <c r="E10" t="inlineStr">
        <is>
          <t>B) Kebimbangan Terhadap Kesilapan Ubat &amp; Konsultasi</t>
        </is>
      </c>
      <c r="F10" t="inlineStr">
        <is>
          <t>LAIN - LAIN (SILA NYATAKAN)</t>
        </is>
      </c>
      <c r="G10" t="inlineStr">
        <is>
          <t>Ophthalmology</t>
        </is>
      </c>
      <c r="I10" t="inlineStr">
        <is>
          <t>Bimbang tentang kesilapan ubat, terutamanya jika terdapat pertukaran jenama</t>
        </is>
      </c>
      <c r="M10" t="inlineStr">
        <is>
          <t>71 - 80</t>
        </is>
      </c>
    </row>
    <row r="11">
      <c r="A11" s="19" t="n">
        <v>46220.41404217593</v>
      </c>
      <c r="B11" t="inlineStr">
        <is>
          <t>SD01414624</t>
        </is>
      </c>
      <c r="D11" t="inlineStr">
        <is>
          <t>Pesakit sendiri</t>
        </is>
      </c>
      <c r="E11" t="inlineStr">
        <is>
          <t>A) Lebih Suka Kaedah Biasa &amp; Ambil Sendiri</t>
        </is>
      </c>
      <c r="F11" t="inlineStr">
        <is>
          <t>ENT</t>
        </is>
      </c>
      <c r="H11" t="inlineStr">
        <is>
          <t>Pesakit tinggal berdekatan, Kekerapan temujanji hospital (banyak TCA hampir setiap bulan), Lebih selesa dengan kaedah biasa di kaunter</t>
        </is>
      </c>
      <c r="M11" t="inlineStr">
        <is>
          <t>71 - 80</t>
        </is>
      </c>
    </row>
    <row r="12">
      <c r="A12" s="19" t="n">
        <v>46220.41958234954</v>
      </c>
      <c r="B12" t="inlineStr">
        <is>
          <t>SD00862682</t>
        </is>
      </c>
      <c r="D12" t="inlineStr">
        <is>
          <t>Pesakit sendiri</t>
        </is>
      </c>
      <c r="E12" t="inlineStr">
        <is>
          <t>A) Lebih Suka Kaedah Biasa &amp; Ambil Sendiri</t>
        </is>
      </c>
      <c r="F12" t="inlineStr">
        <is>
          <t>LAIN - LAIN (SILA NYATAKAN)</t>
        </is>
      </c>
      <c r="G12" t="inlineStr">
        <is>
          <t>oftamologi</t>
        </is>
      </c>
      <c r="H12" t="inlineStr">
        <is>
          <t>Lebih selesa dengan kaedah biasa di kaunter</t>
        </is>
      </c>
      <c r="M12" t="inlineStr">
        <is>
          <t>61 - 70</t>
        </is>
      </c>
    </row>
    <row r="13">
      <c r="A13" s="19" t="n">
        <v>46220.47649508102</v>
      </c>
      <c r="B13" t="inlineStr">
        <is>
          <t>SD00370580</t>
        </is>
      </c>
      <c r="D13" t="inlineStr">
        <is>
          <t>Pesakit sendiri</t>
        </is>
      </c>
      <c r="E13" t="inlineStr">
        <is>
          <t>A) Lebih Suka Kaedah Biasa &amp; Ambil Sendiri</t>
        </is>
      </c>
      <c r="F13" t="inlineStr">
        <is>
          <t>LAIN - LAIN (SILA NYATAKAN)</t>
        </is>
      </c>
      <c r="G13" t="inlineStr">
        <is>
          <t>oftalmologi</t>
        </is>
      </c>
      <c r="H13" t="inlineStr">
        <is>
          <t>Pesakit tinggal berdekatan</t>
        </is>
      </c>
      <c r="M13" t="inlineStr">
        <is>
          <t>41 - 50</t>
        </is>
      </c>
    </row>
    <row r="14">
      <c r="A14" s="19" t="n">
        <v>46220.64438280093</v>
      </c>
      <c r="B14" t="inlineStr">
        <is>
          <t>SD01521626</t>
        </is>
      </c>
      <c r="D14" t="inlineStr">
        <is>
          <t>Pesakit sendiri</t>
        </is>
      </c>
      <c r="E14" t="inlineStr">
        <is>
          <t>A) Lebih Suka Kaedah Biasa &amp; Ambil Sendiri</t>
        </is>
      </c>
      <c r="F14" t="inlineStr">
        <is>
          <t>Perubatan (Semua)</t>
        </is>
      </c>
      <c r="H14" t="inlineStr">
        <is>
          <t>Kekerapan temujanji hospital (banyak TCA hampir setiap bulan)</t>
        </is>
      </c>
      <c r="M14" t="inlineStr">
        <is>
          <t>41 - 50</t>
        </is>
      </c>
    </row>
    <row r="15">
      <c r="A15" s="19" t="n">
        <v>46220.65200592593</v>
      </c>
      <c r="B15" t="inlineStr">
        <is>
          <t>SD00603495</t>
        </is>
      </c>
      <c r="D15" t="inlineStr">
        <is>
          <t>Pesakit sendiri</t>
        </is>
      </c>
      <c r="E15" t="inlineStr">
        <is>
          <t>A) Lebih Suka Kaedah Biasa &amp; Ambil Sendiri</t>
        </is>
      </c>
      <c r="F15" t="inlineStr">
        <is>
          <t>Perubatan (Semua)</t>
        </is>
      </c>
      <c r="H15" t="inlineStr">
        <is>
          <t>Pesakit tinggal berdekatan</t>
        </is>
      </c>
      <c r="M15" t="inlineStr">
        <is>
          <t>71 - 80</t>
        </is>
      </c>
    </row>
    <row r="16">
      <c r="A16" s="19" t="n">
        <v>46223.41872646991</v>
      </c>
      <c r="B16" t="inlineStr">
        <is>
          <t>SD01116262</t>
        </is>
      </c>
      <c r="D16" t="inlineStr">
        <is>
          <t>Pesakit sendiri</t>
        </is>
      </c>
      <c r="E16" t="inlineStr">
        <is>
          <t>C) Isu Spesifik Berkaitan Ubat Melalui Pos (UMP)</t>
        </is>
      </c>
      <c r="F16" t="inlineStr">
        <is>
          <t>Perubatan (Semua)</t>
        </is>
      </c>
      <c r="J16" t="inlineStr">
        <is>
          <t>Penerima tiada di rumah atau sukar untuk menunggu di rumah</t>
        </is>
      </c>
      <c r="M16" t="inlineStr">
        <is>
          <t>51 - 60</t>
        </is>
      </c>
    </row>
    <row r="17">
      <c r="A17" s="19" t="n">
        <v>46223.41862803241</v>
      </c>
      <c r="B17" t="inlineStr">
        <is>
          <t>SD01160364</t>
        </is>
      </c>
      <c r="D17" t="inlineStr">
        <is>
          <t>Pesakit sendiri</t>
        </is>
      </c>
      <c r="E17" t="inlineStr">
        <is>
          <t>A) Lebih Suka Kaedah Biasa &amp; Ambil Sendiri</t>
        </is>
      </c>
      <c r="F17" t="inlineStr">
        <is>
          <t>ENT</t>
        </is>
      </c>
      <c r="H17" t="inlineStr">
        <is>
          <t>Kekerapan temujanji hospital (banyak TCA hampir setiap bulan)</t>
        </is>
      </c>
      <c r="M17" t="inlineStr">
        <is>
          <t>91 - 100</t>
        </is>
      </c>
    </row>
    <row r="18">
      <c r="A18" s="19" t="n">
        <v>46223.419164375</v>
      </c>
      <c r="B18" t="inlineStr">
        <is>
          <t xml:space="preserve">SD00682957 </t>
        </is>
      </c>
      <c r="D18" t="inlineStr">
        <is>
          <t>Waris</t>
        </is>
      </c>
      <c r="E18" t="inlineStr">
        <is>
          <t>A) Lebih Suka Kaedah Biasa &amp; Ambil Sendiri</t>
        </is>
      </c>
      <c r="F18" t="inlineStr">
        <is>
          <t>Orthopedic</t>
        </is>
      </c>
      <c r="H18" t="inlineStr">
        <is>
          <t>Kekerapan temujanji hospital (banyak TCA hampir setiap bulan)</t>
        </is>
      </c>
      <c r="M18" t="inlineStr">
        <is>
          <t>71 - 80</t>
        </is>
      </c>
    </row>
    <row r="19">
      <c r="A19" s="19" t="n">
        <v>46223.42865881944</v>
      </c>
      <c r="B19" t="inlineStr">
        <is>
          <t>SD00797406</t>
        </is>
      </c>
      <c r="D19" t="inlineStr">
        <is>
          <t>Pesakit sendiri</t>
        </is>
      </c>
      <c r="E19" t="inlineStr">
        <is>
          <t>A) Lebih Suka Kaedah Biasa &amp; Ambil Sendiri</t>
        </is>
      </c>
      <c r="F19" t="inlineStr">
        <is>
          <t>LAIN - LAIN (SILA NYATAKAN)</t>
        </is>
      </c>
      <c r="G19" t="inlineStr">
        <is>
          <t>Opthal</t>
        </is>
      </c>
      <c r="H19" t="inlineStr">
        <is>
          <t>Kekerapan temujanji hospital (banyak TCA hampir setiap bulan)</t>
        </is>
      </c>
      <c r="M19" t="inlineStr">
        <is>
          <t>51 - 60</t>
        </is>
      </c>
    </row>
    <row r="20">
      <c r="A20" s="19" t="n">
        <v>46223.43460456019</v>
      </c>
      <c r="B20" t="inlineStr">
        <is>
          <t>Sd00333812</t>
        </is>
      </c>
      <c r="D20" t="inlineStr">
        <is>
          <t>Pesakit sendiri</t>
        </is>
      </c>
      <c r="E20" t="inlineStr">
        <is>
          <t>A) Lebih Suka Kaedah Biasa &amp; Ambil Sendiri</t>
        </is>
      </c>
      <c r="F20" t="inlineStr">
        <is>
          <t>LAIN - LAIN (SILA NYATAKAN)</t>
        </is>
      </c>
      <c r="G20" t="inlineStr">
        <is>
          <t>Opthal</t>
        </is>
      </c>
      <c r="H20" t="inlineStr">
        <is>
          <t>Pengambilan oleh Pihak Ketiga &amp; Institusi (Rumah orang tua / Penjara)</t>
        </is>
      </c>
      <c r="M20" t="inlineStr">
        <is>
          <t>61 - 70</t>
        </is>
      </c>
    </row>
    <row r="21">
      <c r="A21" s="19" t="n">
        <v>46223.44069398148</v>
      </c>
      <c r="B21" t="inlineStr">
        <is>
          <t xml:space="preserve">SD00250432 </t>
        </is>
      </c>
      <c r="D21" t="inlineStr">
        <is>
          <t>Pesakit sendiri</t>
        </is>
      </c>
      <c r="E21" t="inlineStr">
        <is>
          <t>A) Lebih Suka Kaedah Biasa &amp; Ambil Sendiri</t>
        </is>
      </c>
      <c r="F21" t="inlineStr">
        <is>
          <t>LAIN - LAIN (SILA NYATAKAN)</t>
        </is>
      </c>
      <c r="G21" t="inlineStr">
        <is>
          <t>Dermatology</t>
        </is>
      </c>
      <c r="H21" t="inlineStr">
        <is>
          <t>Kekerapan temujanji hospital (banyak TCA hampir setiap bulan)</t>
        </is>
      </c>
      <c r="M21" t="inlineStr">
        <is>
          <t>61 - 70</t>
        </is>
      </c>
    </row>
    <row r="22">
      <c r="A22" s="19" t="n">
        <v>46223.46322164352</v>
      </c>
      <c r="B22" t="inlineStr">
        <is>
          <t>Sd01031615</t>
        </is>
      </c>
      <c r="D22" t="inlineStr">
        <is>
          <t>Pesakit sendiri</t>
        </is>
      </c>
      <c r="E22" t="inlineStr">
        <is>
          <t>A) Lebih Suka Kaedah Biasa &amp; Ambil Sendiri</t>
        </is>
      </c>
      <c r="F22" t="inlineStr">
        <is>
          <t>LAIN - LAIN (SILA NYATAKAN)</t>
        </is>
      </c>
      <c r="G22" t="inlineStr">
        <is>
          <t xml:space="preserve">Opthal </t>
        </is>
      </c>
      <c r="H22" t="inlineStr">
        <is>
          <t>Kekerapan temujanji hospital (banyak TCA hampir setiap bulan)</t>
        </is>
      </c>
      <c r="M22" t="inlineStr">
        <is>
          <t>61 - 70</t>
        </is>
      </c>
    </row>
    <row r="23">
      <c r="A23" s="19" t="n">
        <v>46223.47845815972</v>
      </c>
      <c r="B23" t="inlineStr">
        <is>
          <t>SD00875902</t>
        </is>
      </c>
      <c r="D23" t="inlineStr">
        <is>
          <t>Pesakit sendiri</t>
        </is>
      </c>
      <c r="E23" t="inlineStr">
        <is>
          <t>E) Halangan Teknologi &amp; Celik Digital</t>
        </is>
      </c>
      <c r="F23" t="inlineStr">
        <is>
          <t>ENT</t>
        </is>
      </c>
      <c r="L23" t="inlineStr">
        <is>
          <t>Pesakit tiada telefon pintar</t>
        </is>
      </c>
      <c r="M23" t="inlineStr">
        <is>
          <t>71 - 80</t>
        </is>
      </c>
    </row>
    <row r="24">
      <c r="A24" s="19" t="n">
        <v>46224.39526206018</v>
      </c>
      <c r="B24" t="inlineStr">
        <is>
          <t>Sd00301046</t>
        </is>
      </c>
      <c r="D24" t="inlineStr">
        <is>
          <t>Pesakit sendiri</t>
        </is>
      </c>
      <c r="E24" t="inlineStr">
        <is>
          <t>A) Lebih Suka Kaedah Biasa &amp; Ambil Sendiri</t>
        </is>
      </c>
      <c r="F24" t="inlineStr">
        <is>
          <t>Dermatologi</t>
        </is>
      </c>
      <c r="H24" t="inlineStr">
        <is>
          <t>Kekerapan temujanji hospital (banyak TCA hampir setiap bulan)</t>
        </is>
      </c>
      <c r="M24" t="inlineStr">
        <is>
          <t>71 - 80</t>
        </is>
      </c>
    </row>
    <row r="25">
      <c r="A25" s="19" t="n">
        <v>46224.40541167824</v>
      </c>
      <c r="B25" t="inlineStr">
        <is>
          <t>Sd00992258</t>
        </is>
      </c>
      <c r="D25" t="inlineStr">
        <is>
          <t>Pesakit sendiri</t>
        </is>
      </c>
      <c r="E25" t="inlineStr">
        <is>
          <t>A) Lebih Suka Kaedah Biasa &amp; Ambil Sendiri</t>
        </is>
      </c>
      <c r="F25" t="inlineStr">
        <is>
          <t>LAIN - LAIN (SILA NYATAKAN)</t>
        </is>
      </c>
      <c r="G25" t="inlineStr">
        <is>
          <t>Hemato</t>
        </is>
      </c>
      <c r="H25" t="inlineStr">
        <is>
          <t>Kekerapan temujanji hospital (banyak TCA hampir setiap bulan)</t>
        </is>
      </c>
      <c r="M25" t="inlineStr">
        <is>
          <t>61 - 70</t>
        </is>
      </c>
    </row>
    <row r="26">
      <c r="A26" s="19" t="n">
        <v>46224.41799148148</v>
      </c>
      <c r="B26" t="inlineStr">
        <is>
          <t>SD00222494</t>
        </is>
      </c>
      <c r="D26" t="inlineStr">
        <is>
          <t>Waris</t>
        </is>
      </c>
      <c r="E26" t="inlineStr">
        <is>
          <t>A) Lebih Suka Kaedah Biasa &amp; Ambil Sendiri</t>
        </is>
      </c>
      <c r="F26" t="inlineStr">
        <is>
          <t>LAIN - LAIN (SILA NYATAKAN)</t>
        </is>
      </c>
      <c r="G26" t="inlineStr">
        <is>
          <t>Oftalmologi</t>
        </is>
      </c>
      <c r="H26" t="inlineStr">
        <is>
          <t>Pesakit tinggal berdekatan, Lebih selesa dengan kaedah biasa di kaunter</t>
        </is>
      </c>
      <c r="M26" t="inlineStr">
        <is>
          <t>71 - 80</t>
        </is>
      </c>
    </row>
    <row r="27">
      <c r="A27" s="19" t="n">
        <v>46224.43203171296</v>
      </c>
      <c r="B27" t="inlineStr">
        <is>
          <t>SD01315691</t>
        </is>
      </c>
      <c r="D27" t="inlineStr">
        <is>
          <t>Waris</t>
        </is>
      </c>
      <c r="E27" t="inlineStr">
        <is>
          <t>A) Lebih Suka Kaedah Biasa &amp; Ambil Sendiri</t>
        </is>
      </c>
      <c r="F27" t="inlineStr">
        <is>
          <t>Oftamologi</t>
        </is>
      </c>
      <c r="H27" t="inlineStr">
        <is>
          <t>Kekerapan temujanji hospital (banyak TCA hampir setiap bulan)</t>
        </is>
      </c>
      <c r="M27" t="inlineStr">
        <is>
          <t>0 - 10</t>
        </is>
      </c>
    </row>
    <row r="28">
      <c r="A28" s="19" t="n">
        <v>46224.44103362269</v>
      </c>
      <c r="B28" t="inlineStr">
        <is>
          <t>SD00391838</t>
        </is>
      </c>
      <c r="D28" t="inlineStr">
        <is>
          <t>Pesakit sendiri</t>
        </is>
      </c>
      <c r="E28" t="inlineStr">
        <is>
          <t>A) Lebih Suka Kaedah Biasa &amp; Ambil Sendiri</t>
        </is>
      </c>
      <c r="F28" t="inlineStr">
        <is>
          <t>LAIN - LAIN (SILA NYATAKAN)</t>
        </is>
      </c>
      <c r="G28" t="inlineStr">
        <is>
          <t>Urologi</t>
        </is>
      </c>
      <c r="H28" t="inlineStr">
        <is>
          <t>Lebih selesa dengan kaedah biasa di kaunter, Kurang motivasi diri atau enggan mencuba sistem baharu</t>
        </is>
      </c>
      <c r="M28" t="inlineStr">
        <is>
          <t>71 - 80</t>
        </is>
      </c>
    </row>
    <row r="29">
      <c r="A29" s="19" t="n">
        <v>46224.44363354167</v>
      </c>
      <c r="B29" t="inlineStr">
        <is>
          <t>SD01420886</t>
        </is>
      </c>
      <c r="D29" t="inlineStr">
        <is>
          <t>Pesakit sendiri</t>
        </is>
      </c>
      <c r="E29" t="inlineStr">
        <is>
          <t>A) Lebih Suka Kaedah Biasa &amp; Ambil Sendiri</t>
        </is>
      </c>
      <c r="F29" t="inlineStr">
        <is>
          <t>LAIN - LAIN (SILA NYATAKAN)</t>
        </is>
      </c>
      <c r="G29" t="inlineStr">
        <is>
          <t>Urologi</t>
        </is>
      </c>
      <c r="H29" t="inlineStr">
        <is>
          <t>Kekerapan temujanji hospital (banyak TCA hampir setiap bulan), Lebih selesa dengan kaedah biasa di kaunter</t>
        </is>
      </c>
      <c r="M29" t="inlineStr">
        <is>
          <t>61 - 70</t>
        </is>
      </c>
    </row>
    <row r="30">
      <c r="A30" s="19" t="n">
        <v>46224.44678443287</v>
      </c>
      <c r="B30" t="inlineStr">
        <is>
          <t>SD00862428</t>
        </is>
      </c>
      <c r="D30" t="inlineStr">
        <is>
          <t>Pesakit sendiri</t>
        </is>
      </c>
      <c r="E30" t="inlineStr">
        <is>
          <t>A) Lebih Suka Kaedah Biasa &amp; Ambil Sendiri</t>
        </is>
      </c>
      <c r="F30" t="inlineStr">
        <is>
          <t>LAIN - LAIN (SILA NYATAKAN)</t>
        </is>
      </c>
      <c r="G30" t="inlineStr">
        <is>
          <t>ENT</t>
        </is>
      </c>
      <c r="H30" t="inlineStr">
        <is>
          <t>Lebih selesa dengan kaedah biasa di kaunter</t>
        </is>
      </c>
      <c r="M30" t="inlineStr">
        <is>
          <t>61 - 70</t>
        </is>
      </c>
    </row>
    <row r="31">
      <c r="A31" s="19" t="n">
        <v>46224.45417028935</v>
      </c>
      <c r="B31" t="inlineStr">
        <is>
          <t>Sd01252867</t>
        </is>
      </c>
      <c r="D31" t="inlineStr">
        <is>
          <t>Pesakit sendiri</t>
        </is>
      </c>
      <c r="E31" t="inlineStr">
        <is>
          <t>C) Isu Spesifik Berkaitan Ubat Melalui Pos (UMP)</t>
        </is>
      </c>
      <c r="F31" t="inlineStr">
        <is>
          <t>Orthopedic</t>
        </is>
      </c>
      <c r="J31" t="inlineStr">
        <is>
          <t>Penerima tiada di rumah atau sukar untuk menunggu di rumah</t>
        </is>
      </c>
      <c r="M31" t="inlineStr">
        <is>
          <t>71 - 80</t>
        </is>
      </c>
    </row>
    <row r="32">
      <c r="A32" s="19" t="n">
        <v>46224.45895584491</v>
      </c>
      <c r="B32" t="inlineStr">
        <is>
          <t>Sd00300580</t>
        </is>
      </c>
      <c r="D32" t="inlineStr">
        <is>
          <t>Waris</t>
        </is>
      </c>
      <c r="E32" t="inlineStr">
        <is>
          <t>A) Lebih Suka Kaedah Biasa &amp; Ambil Sendiri</t>
        </is>
      </c>
      <c r="F32" t="inlineStr">
        <is>
          <t>Perubatan (Semua)</t>
        </is>
      </c>
      <c r="H32" t="inlineStr">
        <is>
          <t>Lebih selesa dengan kaedah biasa di kaunter</t>
        </is>
      </c>
      <c r="M32" t="inlineStr">
        <is>
          <t>71 - 80</t>
        </is>
      </c>
    </row>
    <row r="33">
      <c r="A33" s="19" t="n">
        <v>46224.47362921296</v>
      </c>
      <c r="B33" t="inlineStr">
        <is>
          <t>SD00331584</t>
        </is>
      </c>
      <c r="D33" t="inlineStr">
        <is>
          <t>Pesakit sendiri</t>
        </is>
      </c>
      <c r="E33" t="inlineStr">
        <is>
          <t>A) Lebih Suka Kaedah Biasa &amp; Ambil Sendiri</t>
        </is>
      </c>
      <c r="F33" t="inlineStr">
        <is>
          <t>LAIN - LAIN (SILA NYATAKAN)</t>
        </is>
      </c>
      <c r="G33" t="inlineStr">
        <is>
          <t>Urologi</t>
        </is>
      </c>
      <c r="H33" t="inlineStr">
        <is>
          <t>Lebih selesa dengan kaedah biasa di kaunter</t>
        </is>
      </c>
      <c r="M33" t="inlineStr">
        <is>
          <t>71 - 80</t>
        </is>
      </c>
    </row>
    <row r="34">
      <c r="A34" s="19" t="n">
        <v>46225.38474489583</v>
      </c>
      <c r="B34" t="inlineStr">
        <is>
          <t>Sd00037178</t>
        </is>
      </c>
      <c r="D34" t="inlineStr">
        <is>
          <t>Pesakit sendiri</t>
        </is>
      </c>
      <c r="E34" t="inlineStr">
        <is>
          <t>A) Lebih Suka Kaedah Biasa &amp; Ambil Sendiri</t>
        </is>
      </c>
      <c r="F34" t="inlineStr">
        <is>
          <t>Perubatan (Semua)</t>
        </is>
      </c>
      <c r="H34" t="inlineStr">
        <is>
          <t>Lebih selesa dengan kaedah biasa di kaunter</t>
        </is>
      </c>
      <c r="M34" t="inlineStr">
        <is>
          <t>71 - 80</t>
        </is>
      </c>
    </row>
    <row r="35">
      <c r="A35" s="19" t="n">
        <v>46225.43286424768</v>
      </c>
      <c r="B35" t="inlineStr">
        <is>
          <t>Sd01056832</t>
        </is>
      </c>
      <c r="D35" t="inlineStr">
        <is>
          <t>Pesakit sendiri</t>
        </is>
      </c>
      <c r="E35" t="inlineStr">
        <is>
          <t>C) Isu Spesifik Berkaitan Ubat Melalui Pos (UMP)</t>
        </is>
      </c>
      <c r="F35" t="inlineStr">
        <is>
          <t>Orthopedic</t>
        </is>
      </c>
      <c r="J35" t="inlineStr">
        <is>
          <t>Penerima tiada di rumah atau sukar untuk menunggu di rumah</t>
        </is>
      </c>
      <c r="M35" t="inlineStr">
        <is>
          <t>61 - 70</t>
        </is>
      </c>
    </row>
    <row r="36">
      <c r="A36" s="19" t="n">
        <v>46226.3527066551</v>
      </c>
      <c r="B36" t="inlineStr">
        <is>
          <t>Sd00785536</t>
        </is>
      </c>
      <c r="D36" t="inlineStr">
        <is>
          <t>Pesakit sendiri</t>
        </is>
      </c>
      <c r="E36" t="inlineStr">
        <is>
          <t>A) Lebih Suka Kaedah Biasa &amp; Ambil Sendiri</t>
        </is>
      </c>
      <c r="F36" t="inlineStr">
        <is>
          <t>Orthopedic</t>
        </is>
      </c>
      <c r="H36" t="inlineStr">
        <is>
          <t>Lebih selesa dengan kaedah biasa di kaunter</t>
        </is>
      </c>
      <c r="M36" t="inlineStr">
        <is>
          <t>61 - 70</t>
        </is>
      </c>
    </row>
    <row r="37">
      <c r="A37" s="19" t="n">
        <v>46226.40861744213</v>
      </c>
      <c r="B37" t="inlineStr">
        <is>
          <t>SD01404937</t>
        </is>
      </c>
      <c r="D37" t="inlineStr">
        <is>
          <t>Waris</t>
        </is>
      </c>
      <c r="E37" t="inlineStr">
        <is>
          <t>A) Lebih Suka Kaedah Biasa &amp; Ambil Sendiri</t>
        </is>
      </c>
      <c r="F37" t="inlineStr">
        <is>
          <t>Oftamologi</t>
        </is>
      </c>
      <c r="H37" t="inlineStr">
        <is>
          <t>Pesakit tinggal berdekatan, Kekerapan temujanji hospital (banyak TCA hampir setiap bulan), Lebih selesa dengan kaedah biasa di kaunter</t>
        </is>
      </c>
      <c r="M37" t="inlineStr">
        <is>
          <t>71 - 80</t>
        </is>
      </c>
    </row>
    <row r="38">
      <c r="A38" s="19" t="n">
        <v>46226.42793269676</v>
      </c>
      <c r="B38" t="inlineStr">
        <is>
          <t>SD00346370</t>
        </is>
      </c>
      <c r="D38" t="inlineStr">
        <is>
          <t>Pesakit sendiri</t>
        </is>
      </c>
      <c r="E38" t="inlineStr">
        <is>
          <t>A) Lebih Suka Kaedah Biasa &amp; Ambil Sendiri</t>
        </is>
      </c>
      <c r="F38" t="inlineStr">
        <is>
          <t>Oftamologi</t>
        </is>
      </c>
      <c r="H38" t="inlineStr">
        <is>
          <t>Pesakit tinggal berdekatan, Kekerapan temujanji hospital (banyak TCA hampir setiap bulan), Lebih selesa dengan kaedah biasa di kaunter</t>
        </is>
      </c>
      <c r="M38" t="inlineStr">
        <is>
          <t>71 - 80</t>
        </is>
      </c>
    </row>
    <row r="39">
      <c r="A39" s="19" t="n">
        <v>46226.42981460648</v>
      </c>
      <c r="B39" t="inlineStr">
        <is>
          <t>SD00055019</t>
        </is>
      </c>
      <c r="D39" t="inlineStr">
        <is>
          <t>Pesakit sendiri</t>
        </is>
      </c>
      <c r="E39" t="inlineStr">
        <is>
          <t>A) Lebih Suka Kaedah Biasa &amp; Ambil Sendiri</t>
        </is>
      </c>
      <c r="F39" t="inlineStr">
        <is>
          <t>LAIN - LAIN (SILA NYATAKAN)</t>
        </is>
      </c>
      <c r="G39" t="inlineStr">
        <is>
          <t>Urologi</t>
        </is>
      </c>
      <c r="H39" t="inlineStr">
        <is>
          <t>Pesakit tinggal berdekatan, Lebih selesa dengan kaedah biasa di kaunter, Kurang motivasi diri atau enggan mencuba sistem baharu</t>
        </is>
      </c>
      <c r="M39" t="inlineStr">
        <is>
          <t>61 - 70</t>
        </is>
      </c>
    </row>
    <row r="40">
      <c r="A40" s="19" t="n">
        <v>46226.58335453704</v>
      </c>
      <c r="B40" t="inlineStr">
        <is>
          <t>SD00263071</t>
        </is>
      </c>
      <c r="D40" t="inlineStr">
        <is>
          <t>Pesakit sendiri</t>
        </is>
      </c>
      <c r="E40" t="inlineStr">
        <is>
          <t>A) Lebih Suka Kaedah Biasa &amp; Ambil Sendiri</t>
        </is>
      </c>
      <c r="F40" t="inlineStr">
        <is>
          <t>Psikiatri</t>
        </is>
      </c>
      <c r="H40" t="inlineStr">
        <is>
          <t>Kekerapan temujanji hospital (banyak TCA hampir setiap bulan)</t>
        </is>
      </c>
      <c r="M40" t="inlineStr">
        <is>
          <t>51 - 60</t>
        </is>
      </c>
    </row>
    <row r="41">
      <c r="A41" s="19" t="n">
        <v>46226.61997535879</v>
      </c>
      <c r="B41" t="inlineStr">
        <is>
          <t>SD00174917</t>
        </is>
      </c>
      <c r="D41" t="inlineStr">
        <is>
          <t>Pesakit sendiri</t>
        </is>
      </c>
      <c r="E41" t="inlineStr">
        <is>
          <t>A) Lebih Suka Kaedah Biasa &amp; Ambil Sendiri</t>
        </is>
      </c>
      <c r="F41" t="inlineStr">
        <is>
          <t>LAIN - LAIN (SILA NYATAKAN)</t>
        </is>
      </c>
      <c r="G41" t="inlineStr">
        <is>
          <t xml:space="preserve">Ent, urology </t>
        </is>
      </c>
      <c r="H41" t="inlineStr">
        <is>
          <t>Kekerapan temujanji hospital (banyak TCA hampir setiap bulan)</t>
        </is>
      </c>
      <c r="M41" t="inlineStr">
        <is>
          <t>91 - 100</t>
        </is>
      </c>
    </row>
    <row r="42">
      <c r="A42" s="19" t="n">
        <v>46230.57578881944</v>
      </c>
      <c r="B42" t="inlineStr">
        <is>
          <t>SD01372014</t>
        </is>
      </c>
      <c r="D42" t="inlineStr">
        <is>
          <t>Pesakit sendiri</t>
        </is>
      </c>
      <c r="E42" t="inlineStr">
        <is>
          <t>A) Lebih Suka Kaedah Biasa &amp; Ambil Sendiri</t>
        </is>
      </c>
      <c r="F42" t="inlineStr">
        <is>
          <t>Perubatan (Semua)</t>
        </is>
      </c>
      <c r="H42" t="inlineStr">
        <is>
          <t>Lebih selesa dengan kaedah biasa di kaunter</t>
        </is>
      </c>
      <c r="M42" t="inlineStr">
        <is>
          <t>31 - 40</t>
        </is>
      </c>
    </row>
    <row r="43">
      <c r="A43" s="19" t="n">
        <v>46230.70959054398</v>
      </c>
      <c r="B43" t="inlineStr">
        <is>
          <t>Sd00299152</t>
        </is>
      </c>
      <c r="D43" t="inlineStr">
        <is>
          <t>Waris</t>
        </is>
      </c>
      <c r="E43" t="inlineStr">
        <is>
          <t>A) Lebih Suka Kaedah Biasa &amp; Ambil Sendiri</t>
        </is>
      </c>
      <c r="F43" t="inlineStr">
        <is>
          <t>Orthopedic</t>
        </is>
      </c>
      <c r="H43" t="inlineStr">
        <is>
          <t>Kekerapan temujanji hospital (banyak TCA hampir setiap bulan)</t>
        </is>
      </c>
      <c r="M43" t="inlineStr">
        <is>
          <t>51 - 60</t>
        </is>
      </c>
    </row>
    <row r="44">
      <c r="A44" s="19" t="n">
        <v>46231.37896435185</v>
      </c>
      <c r="B44" t="inlineStr">
        <is>
          <t>Sd00285989</t>
        </is>
      </c>
      <c r="D44" t="inlineStr">
        <is>
          <t>Waris</t>
        </is>
      </c>
      <c r="E44" t="inlineStr">
        <is>
          <t>A) Lebih Suka Kaedah Biasa &amp; Ambil Sendiri</t>
        </is>
      </c>
      <c r="F44" t="inlineStr">
        <is>
          <t>Perubatan (Semua)</t>
        </is>
      </c>
      <c r="H44" t="inlineStr">
        <is>
          <t>Kekerapan temujanji hospital (banyak TCA hampir setiap bulan)</t>
        </is>
      </c>
      <c r="M44" t="inlineStr">
        <is>
          <t>61 - 70</t>
        </is>
      </c>
    </row>
    <row r="45">
      <c r="A45" s="19" t="n">
        <v>46231.65529025463</v>
      </c>
      <c r="B45" t="inlineStr">
        <is>
          <t>00962893</t>
        </is>
      </c>
      <c r="D45" t="inlineStr">
        <is>
          <t>Pesakit sendiri</t>
        </is>
      </c>
      <c r="E45" t="inlineStr">
        <is>
          <t>A) Lebih Suka Kaedah Biasa &amp; Ambil Sendiri</t>
        </is>
      </c>
      <c r="F45" t="inlineStr">
        <is>
          <t>Nefrologi</t>
        </is>
      </c>
      <c r="H45" t="inlineStr">
        <is>
          <t>Kekerapan temujanji hospital (banyak TCA hampir setiap bulan)</t>
        </is>
      </c>
      <c r="M45" t="inlineStr">
        <is>
          <t>31 - 40</t>
        </is>
      </c>
    </row>
    <row r="46">
      <c r="A46" s="19" t="n">
        <v>46231.66461841435</v>
      </c>
      <c r="B46" t="inlineStr">
        <is>
          <t>SD00171951</t>
        </is>
      </c>
      <c r="D46" t="inlineStr">
        <is>
          <t>Waris</t>
        </is>
      </c>
      <c r="E46" t="inlineStr">
        <is>
          <t>D) Isu Spesifik Berkaitan Farmasi Pandu Lalu (FPL)</t>
        </is>
      </c>
      <c r="F46" t="inlineStr">
        <is>
          <t>Perubatan (Semua)</t>
        </is>
      </c>
      <c r="K46" t="inlineStr">
        <is>
          <t>Ketidakpadanan waktu operasi (FPL buka lambat, pesakit datang awal)</t>
        </is>
      </c>
      <c r="M46" t="inlineStr">
        <is>
          <t>51 - 60</t>
        </is>
      </c>
    </row>
    <row r="47">
      <c r="A47" s="19" t="n">
        <v>46232.56932678241</v>
      </c>
      <c r="B47" t="inlineStr">
        <is>
          <t>SD01229966</t>
        </is>
      </c>
      <c r="D47" t="inlineStr">
        <is>
          <t>Pesakit sendiri</t>
        </is>
      </c>
      <c r="E47" t="inlineStr">
        <is>
          <t>E) Halangan Teknologi &amp; Celik Digital</t>
        </is>
      </c>
      <c r="F47" t="inlineStr">
        <is>
          <t>Pulmonari</t>
        </is>
      </c>
      <c r="L47" t="inlineStr">
        <is>
          <t>Pesakit tiada pelan data mudah alih</t>
        </is>
      </c>
      <c r="M47" t="inlineStr">
        <is>
          <t>41 - 50</t>
        </is>
      </c>
    </row>
    <row r="48">
      <c r="A48" s="19" t="n">
        <v>46232.63744612269</v>
      </c>
      <c r="B48" t="inlineStr">
        <is>
          <t>Sd00328918</t>
        </is>
      </c>
      <c r="D48" t="inlineStr">
        <is>
          <t>Waris</t>
        </is>
      </c>
      <c r="E48" t="inlineStr">
        <is>
          <t>A) Lebih Suka Kaedah Biasa &amp; Ambil Sendiri</t>
        </is>
      </c>
      <c r="F48" t="inlineStr">
        <is>
          <t>Orthopedic</t>
        </is>
      </c>
      <c r="H48" t="inlineStr">
        <is>
          <t>Lebih selesa dengan kaedah biasa di kaunter</t>
        </is>
      </c>
      <c r="M48" t="inlineStr">
        <is>
          <t>71 - 80</t>
        </is>
      </c>
    </row>
    <row r="49">
      <c r="A49" s="19" t="n">
        <v>46232.66522137731</v>
      </c>
      <c r="B49" t="inlineStr">
        <is>
          <t>Sd00763976</t>
        </is>
      </c>
      <c r="D49" t="inlineStr">
        <is>
          <t>Pesakit sendiri</t>
        </is>
      </c>
      <c r="E49" t="inlineStr">
        <is>
          <t>A) Lebih Suka Kaedah Biasa &amp; Ambil Sendiri</t>
        </is>
      </c>
      <c r="F49" t="inlineStr">
        <is>
          <t>Nefrologi</t>
        </is>
      </c>
      <c r="H49" t="inlineStr">
        <is>
          <t>Lebih selesa dengan kaedah biasa di kaunter</t>
        </is>
      </c>
      <c r="M49" t="inlineStr">
        <is>
          <t>61 - 70</t>
        </is>
      </c>
    </row>
    <row r="50">
      <c r="A50" s="19" t="n">
        <v>46237.39371265046</v>
      </c>
      <c r="B50" t="inlineStr">
        <is>
          <t>Sd 00971952</t>
        </is>
      </c>
      <c r="D50" t="inlineStr">
        <is>
          <t>Pesakit sendiri</t>
        </is>
      </c>
      <c r="E50" t="inlineStr">
        <is>
          <t>E) Halangan Teknologi &amp; Celik Digital</t>
        </is>
      </c>
      <c r="F50" t="inlineStr">
        <is>
          <t>Perubatan (Semua)</t>
        </is>
      </c>
      <c r="L50" t="inlineStr">
        <is>
          <t>Pesakit tiada telefon pintar, Pesakit tiada pelan data mudah alih</t>
        </is>
      </c>
      <c r="M50" t="inlineStr">
        <is>
          <t>71 - 80</t>
        </is>
      </c>
    </row>
    <row r="51">
      <c r="A51" s="19" t="n">
        <v>46237.39619994213</v>
      </c>
      <c r="B51" t="inlineStr">
        <is>
          <t>SD01293703</t>
        </is>
      </c>
      <c r="D51" t="inlineStr">
        <is>
          <t>Pesakit sendiri</t>
        </is>
      </c>
      <c r="E51" t="inlineStr">
        <is>
          <t>A) Lebih Suka Kaedah Biasa &amp; Ambil Sendiri</t>
        </is>
      </c>
      <c r="F51" t="inlineStr">
        <is>
          <t>Perubatan (Semua)</t>
        </is>
      </c>
      <c r="H51" t="inlineStr">
        <is>
          <t>Lebih selesa dengan kaedah biasa di kaunter, Kurang motivasi diri atau enggan mencuba sistem baharu</t>
        </is>
      </c>
      <c r="M51" t="inlineStr">
        <is>
          <t>51 - 60</t>
        </is>
      </c>
    </row>
    <row r="52">
      <c r="A52" s="19" t="n">
        <v>46237.40422358796</v>
      </c>
      <c r="B52" t="inlineStr">
        <is>
          <t>Sd00041645</t>
        </is>
      </c>
      <c r="D52" t="inlineStr">
        <is>
          <t>Pesakit sendiri</t>
        </is>
      </c>
      <c r="E52" t="inlineStr">
        <is>
          <t>A) Lebih Suka Kaedah Biasa &amp; Ambil Sendiri</t>
        </is>
      </c>
      <c r="F52" t="inlineStr">
        <is>
          <t>Nefrologi</t>
        </is>
      </c>
      <c r="H52" t="inlineStr">
        <is>
          <t>Lebih selesa dengan kaedah biasa di kaunter</t>
        </is>
      </c>
      <c r="M52" t="inlineStr">
        <is>
          <t>71 - 80</t>
        </is>
      </c>
    </row>
    <row r="53">
      <c r="A53" s="19" t="n">
        <v>46237.41078885417</v>
      </c>
      <c r="B53" t="inlineStr">
        <is>
          <t>Sd00988592</t>
        </is>
      </c>
      <c r="D53" t="inlineStr">
        <is>
          <t>Pesakit sendiri</t>
        </is>
      </c>
      <c r="E53" t="inlineStr">
        <is>
          <t>A) Lebih Suka Kaedah Biasa &amp; Ambil Sendiri</t>
        </is>
      </c>
      <c r="F53" t="inlineStr">
        <is>
          <t>Perubatan (Semua)</t>
        </is>
      </c>
      <c r="H53" t="inlineStr">
        <is>
          <t>Lebih selesa dengan kaedah biasa di kaunter</t>
        </is>
      </c>
      <c r="M53" t="inlineStr">
        <is>
          <t>81 - 90</t>
        </is>
      </c>
    </row>
    <row r="54">
      <c r="A54" s="19" t="n">
        <v>46237.41637666667</v>
      </c>
      <c r="B54" t="inlineStr">
        <is>
          <t>Sd00373480</t>
        </is>
      </c>
      <c r="D54" t="inlineStr">
        <is>
          <t>Waris</t>
        </is>
      </c>
      <c r="E54" t="inlineStr">
        <is>
          <t>A) Lebih Suka Kaedah Biasa &amp; Ambil Sendiri</t>
        </is>
      </c>
      <c r="F54" t="inlineStr">
        <is>
          <t>Orthopedic</t>
        </is>
      </c>
      <c r="H54" t="inlineStr">
        <is>
          <t>Kekerapan temujanji hospital (banyak TCA hampir setiap bulan)</t>
        </is>
      </c>
      <c r="M54" t="inlineStr">
        <is>
          <t>71 - 80</t>
        </is>
      </c>
    </row>
    <row r="55">
      <c r="A55" s="19" t="n">
        <v>46237.43219880787</v>
      </c>
      <c r="B55" t="inlineStr">
        <is>
          <t>Sd01368129</t>
        </is>
      </c>
      <c r="D55" t="inlineStr">
        <is>
          <t>Pesakit sendiri</t>
        </is>
      </c>
      <c r="E55" t="inlineStr">
        <is>
          <t>C) Isu Spesifik Berkaitan Ubat Melalui Pos (UMP)</t>
        </is>
      </c>
      <c r="F55" t="inlineStr">
        <is>
          <t>Orthopedic</t>
        </is>
      </c>
      <c r="J55" t="inlineStr">
        <is>
          <t>Enggan atau tidak mampu membayar caj kurier</t>
        </is>
      </c>
      <c r="M55" t="inlineStr">
        <is>
          <t>51 - 60</t>
        </is>
      </c>
    </row>
    <row r="56">
      <c r="A56" s="19" t="n">
        <v>46237.52174890046</v>
      </c>
      <c r="B56" t="inlineStr">
        <is>
          <t>Sd00748929</t>
        </is>
      </c>
      <c r="D56" t="inlineStr">
        <is>
          <t>Waris</t>
        </is>
      </c>
      <c r="E56" t="inlineStr">
        <is>
          <t>A) Lebih Suka Kaedah Biasa &amp; Ambil Sendiri</t>
        </is>
      </c>
      <c r="F56" t="inlineStr">
        <is>
          <t>Pulmonari</t>
        </is>
      </c>
      <c r="H56" t="inlineStr">
        <is>
          <t>Lebih selesa dengan kaedah biasa di kaunter</t>
        </is>
      </c>
      <c r="M56" t="inlineStr">
        <is>
          <t>71 - 80</t>
        </is>
      </c>
    </row>
    <row r="57">
      <c r="A57" s="19" t="n">
        <v>46238.35405913195</v>
      </c>
      <c r="B57" t="inlineStr">
        <is>
          <t xml:space="preserve">SD00395597 </t>
        </is>
      </c>
      <c r="D57" t="inlineStr">
        <is>
          <t>Pesakit sendiri</t>
        </is>
      </c>
      <c r="E57" t="inlineStr">
        <is>
          <t>A) Lebih Suka Kaedah Biasa &amp; Ambil Sendiri</t>
        </is>
      </c>
      <c r="F57" t="inlineStr">
        <is>
          <t>Urologi</t>
        </is>
      </c>
      <c r="H57" t="inlineStr">
        <is>
          <t>Kurang motivasi diri atau enggan mencuba sistem baharu</t>
        </is>
      </c>
      <c r="M57" t="inlineStr">
        <is>
          <t>71 - 80</t>
        </is>
      </c>
    </row>
    <row r="58">
      <c r="A58" s="19" t="n">
        <v>46238.40812648148</v>
      </c>
      <c r="B58" t="inlineStr">
        <is>
          <t>SD00035437</t>
        </is>
      </c>
      <c r="D58" t="inlineStr">
        <is>
          <t>Pesakit sendiri</t>
        </is>
      </c>
      <c r="E58" t="inlineStr">
        <is>
          <t>C) Isu Spesifik Berkaitan Ubat Melalui Pos (UMP)</t>
        </is>
      </c>
      <c r="F58" t="inlineStr">
        <is>
          <t>Urologi</t>
        </is>
      </c>
      <c r="J58" t="inlineStr">
        <is>
          <t>Pengalaman buruk dengan pos sebelum ini (ubat salah atau tidak mencukupi)</t>
        </is>
      </c>
      <c r="M58" t="inlineStr">
        <is>
          <t>71 - 80</t>
        </is>
      </c>
    </row>
    <row r="59">
      <c r="A59" s="19" t="n">
        <v>46238.40859792824</v>
      </c>
      <c r="B59" t="inlineStr">
        <is>
          <t xml:space="preserve">SD00814088 </t>
        </is>
      </c>
      <c r="D59" t="inlineStr">
        <is>
          <t>Pesakit sendiri</t>
        </is>
      </c>
      <c r="E59" t="inlineStr">
        <is>
          <t>A) Lebih Suka Kaedah Biasa &amp; Ambil Sendiri</t>
        </is>
      </c>
      <c r="F59" t="inlineStr">
        <is>
          <t>Urologi</t>
        </is>
      </c>
      <c r="H59" t="inlineStr">
        <is>
          <t>Lebih selesa dengan kaedah biasa di kaunter, Kurang motivasi diri atau enggan mencuba sistem baharu</t>
        </is>
      </c>
      <c r="M59" t="inlineStr">
        <is>
          <t>61 - 70</t>
        </is>
      </c>
    </row>
    <row r="60">
      <c r="A60" s="19" t="n">
        <v>46238.42428501158</v>
      </c>
      <c r="B60" t="inlineStr">
        <is>
          <t xml:space="preserve">SD00926685  </t>
        </is>
      </c>
      <c r="D60" t="inlineStr">
        <is>
          <t>Pesakit sendiri</t>
        </is>
      </c>
      <c r="E60" t="inlineStr">
        <is>
          <t>C) Isu Spesifik Berkaitan Ubat Melalui Pos (UMP)</t>
        </is>
      </c>
      <c r="F60" t="inlineStr">
        <is>
          <t>Urologi</t>
        </is>
      </c>
      <c r="J60" t="inlineStr">
        <is>
          <t>Pengalaman buruk dengan pos sebelum ini (ubat salah atau tidak mencukupi)</t>
        </is>
      </c>
    </row>
    <row r="61">
      <c r="A61" s="19" t="n">
        <v>46239.37059537037</v>
      </c>
      <c r="B61" t="inlineStr">
        <is>
          <t>SD00239901</t>
        </is>
      </c>
      <c r="D61" t="inlineStr">
        <is>
          <t>Waris</t>
        </is>
      </c>
      <c r="E61" t="inlineStr">
        <is>
          <t>A) Lebih Suka Kaedah Biasa &amp; Ambil Sendiri</t>
        </is>
      </c>
      <c r="F61" t="inlineStr">
        <is>
          <t>Oftamologi</t>
        </is>
      </c>
      <c r="H61" t="inlineStr">
        <is>
          <t>Pesakit tinggal berdekatan, Lebih selesa dengan kaedah biasa di kaunter</t>
        </is>
      </c>
      <c r="M61" t="inlineStr">
        <is>
          <t>61 - 70</t>
        </is>
      </c>
    </row>
    <row r="62">
      <c r="A62" s="19" t="n">
        <v>46239.41545026621</v>
      </c>
      <c r="B62" t="inlineStr">
        <is>
          <t>SD00728608</t>
        </is>
      </c>
      <c r="D62" t="inlineStr">
        <is>
          <t>Pesakit sendiri</t>
        </is>
      </c>
      <c r="E62" t="inlineStr">
        <is>
          <t>A) Lebih Suka Kaedah Biasa &amp; Ambil Sendiri</t>
        </is>
      </c>
      <c r="F62" t="inlineStr">
        <is>
          <t>ENT</t>
        </is>
      </c>
      <c r="H62" t="inlineStr">
        <is>
          <t>Pesakit tinggal berdekatan, Lebih selesa dengan kaedah biasa di kaunter</t>
        </is>
      </c>
      <c r="M62" t="inlineStr">
        <is>
          <t>41 - 50</t>
        </is>
      </c>
    </row>
    <row r="63">
      <c r="A63" s="19" t="n">
        <v>46239.43132947916</v>
      </c>
      <c r="B63" t="inlineStr">
        <is>
          <t>SD00586292</t>
        </is>
      </c>
      <c r="D63" t="inlineStr">
        <is>
          <t>Pesakit sendiri</t>
        </is>
      </c>
      <c r="E63" t="inlineStr">
        <is>
          <t>E) Halangan Teknologi &amp; Celik Digital</t>
        </is>
      </c>
      <c r="F63" t="inlineStr">
        <is>
          <t>Nefrologi</t>
        </is>
      </c>
      <c r="L63" t="inlineStr">
        <is>
          <t>Pesakit tiada telefon pintar</t>
        </is>
      </c>
      <c r="M63" t="inlineStr">
        <is>
          <t>71 - 80</t>
        </is>
      </c>
    </row>
    <row r="64">
      <c r="A64" s="19" t="n">
        <v>46239.4445847338</v>
      </c>
      <c r="B64" t="inlineStr">
        <is>
          <t>SD01233303</t>
        </is>
      </c>
      <c r="D64" t="inlineStr">
        <is>
          <t>Pesakit sendiri</t>
        </is>
      </c>
      <c r="E64" t="inlineStr">
        <is>
          <t>A) Lebih Suka Kaedah Biasa &amp; Ambil Sendiri</t>
        </is>
      </c>
      <c r="F64" t="inlineStr">
        <is>
          <t>Perubatan (Semua)</t>
        </is>
      </c>
      <c r="H64" t="inlineStr">
        <is>
          <t>Kekerapan temujanji hospital (banyak TCA hampir setiap bulan)</t>
        </is>
      </c>
      <c r="M64" t="inlineStr">
        <is>
          <t>51 - 60</t>
        </is>
      </c>
    </row>
    <row r="65">
      <c r="A65" s="19" t="n">
        <v>46239.48609160879</v>
      </c>
      <c r="B65" t="inlineStr">
        <is>
          <t>SD00793254</t>
        </is>
      </c>
      <c r="D65" t="inlineStr">
        <is>
          <t>Waris</t>
        </is>
      </c>
      <c r="E65" t="inlineStr">
        <is>
          <t>A) Lebih Suka Kaedah Biasa &amp; Ambil Sendiri</t>
        </is>
      </c>
      <c r="F65" t="inlineStr">
        <is>
          <t>Perubatan (Semua)</t>
        </is>
      </c>
      <c r="H65" t="inlineStr">
        <is>
          <t>Kurang motivasi diri atau enggan mencuba sistem baharu</t>
        </is>
      </c>
      <c r="M65" t="inlineStr">
        <is>
          <t>51 - 60</t>
        </is>
      </c>
    </row>
    <row r="66">
      <c r="A66" s="19" t="n">
        <v>46239.58344184028</v>
      </c>
      <c r="B66" t="inlineStr">
        <is>
          <t>SD00891638</t>
        </is>
      </c>
      <c r="D66" t="inlineStr">
        <is>
          <t>Pesakit sendiri</t>
        </is>
      </c>
      <c r="E66" t="inlineStr">
        <is>
          <t>A) Lebih Suka Kaedah Biasa &amp; Ambil Sendiri</t>
        </is>
      </c>
      <c r="F66" t="inlineStr">
        <is>
          <t>Perubatan (Semua)</t>
        </is>
      </c>
      <c r="H66" t="inlineStr">
        <is>
          <t>Lebih selesa dengan kaedah biasa di kaunter</t>
        </is>
      </c>
      <c r="M66" t="inlineStr">
        <is>
          <t>51 - 60</t>
        </is>
      </c>
    </row>
    <row r="67">
      <c r="A67" s="19" t="n">
        <v>46241.3605318287</v>
      </c>
      <c r="B67" t="inlineStr">
        <is>
          <t>SD01340047</t>
        </is>
      </c>
      <c r="D67" t="inlineStr">
        <is>
          <t>Pesakit sendiri</t>
        </is>
      </c>
      <c r="E67" t="inlineStr">
        <is>
          <t>A) Lebih Suka Kaedah Biasa &amp; Ambil Sendiri</t>
        </is>
      </c>
      <c r="F67" t="inlineStr">
        <is>
          <t>Perubatan (Semua)</t>
        </is>
      </c>
      <c r="H67" t="inlineStr">
        <is>
          <t>Pesakit tinggal berdekatan</t>
        </is>
      </c>
      <c r="M67" t="inlineStr">
        <is>
          <t>51 - 60</t>
        </is>
      </c>
    </row>
    <row r="68">
      <c r="A68" s="19" t="n">
        <v>46241.42417391203</v>
      </c>
      <c r="B68" t="inlineStr">
        <is>
          <t>SD00377620</t>
        </is>
      </c>
      <c r="D68" t="inlineStr">
        <is>
          <t>Waris</t>
        </is>
      </c>
      <c r="E68" t="inlineStr">
        <is>
          <t>A) Lebih Suka Kaedah Biasa &amp; Ambil Sendiri</t>
        </is>
      </c>
      <c r="F68" t="inlineStr">
        <is>
          <t>LAIN - LAIN (SILA NYATAKAN)</t>
        </is>
      </c>
      <c r="G68" t="inlineStr">
        <is>
          <t>Hepatology</t>
        </is>
      </c>
      <c r="H68" t="inlineStr">
        <is>
          <t>Lebih selesa dengan kaedah biasa di kaunter</t>
        </is>
      </c>
      <c r="M68" t="inlineStr">
        <is>
          <t>61 - 70</t>
        </is>
      </c>
    </row>
    <row r="69">
      <c r="A69" s="19" t="n">
        <v>46241.42927471064</v>
      </c>
      <c r="B69" t="inlineStr">
        <is>
          <t>SD00504430</t>
        </is>
      </c>
      <c r="D69" t="inlineStr">
        <is>
          <t>Pesakit sendiri</t>
        </is>
      </c>
      <c r="E69" t="inlineStr">
        <is>
          <t>A) Lebih Suka Kaedah Biasa &amp; Ambil Sendiri</t>
        </is>
      </c>
      <c r="F69" t="inlineStr">
        <is>
          <t>Orthopedic</t>
        </is>
      </c>
      <c r="H69" t="inlineStr">
        <is>
          <t>Lebih selesa dengan kaedah biasa di kaunter, Kurang motivasi diri atau enggan mencuba sistem baharu</t>
        </is>
      </c>
      <c r="M69" t="inlineStr">
        <is>
          <t>71 - 80</t>
        </is>
      </c>
    </row>
    <row r="70">
      <c r="A70" s="19" t="n">
        <v>46241.43998181713</v>
      </c>
      <c r="B70" t="inlineStr">
        <is>
          <t>SD01505363</t>
        </is>
      </c>
      <c r="D70" t="inlineStr">
        <is>
          <t>Pesakit sendiri</t>
        </is>
      </c>
      <c r="E70" t="inlineStr">
        <is>
          <t>A) Lebih Suka Kaedah Biasa &amp; Ambil Sendiri</t>
        </is>
      </c>
      <c r="F70" t="inlineStr">
        <is>
          <t>Pulmonari</t>
        </is>
      </c>
      <c r="H70" t="inlineStr">
        <is>
          <t>Kekerapan temujanji hospital (banyak TCA hampir setiap bulan)</t>
        </is>
      </c>
      <c r="M70" t="inlineStr">
        <is>
          <t>51 - 60</t>
        </is>
      </c>
    </row>
    <row r="71">
      <c r="A71" s="19" t="n">
        <v>46241.45066111111</v>
      </c>
      <c r="B71" t="inlineStr">
        <is>
          <t>SD00039757</t>
        </is>
      </c>
      <c r="D71" t="inlineStr">
        <is>
          <t>Pesakit sendiri</t>
        </is>
      </c>
      <c r="E71" t="inlineStr">
        <is>
          <t>A) Lebih Suka Kaedah Biasa &amp; Ambil Sendiri</t>
        </is>
      </c>
      <c r="F71" t="inlineStr">
        <is>
          <t>Nefrologi</t>
        </is>
      </c>
      <c r="H71" t="inlineStr">
        <is>
          <t>Lebih selesa dengan kaedah biasa di kaunter</t>
        </is>
      </c>
      <c r="M71" t="inlineStr">
        <is>
          <t>61 - 70</t>
        </is>
      </c>
    </row>
    <row r="72">
      <c r="A72" s="19" t="n">
        <v>46244.35366478009</v>
      </c>
      <c r="B72" t="inlineStr">
        <is>
          <t>SD00476901</t>
        </is>
      </c>
      <c r="D72" t="inlineStr">
        <is>
          <t>Pesakit sendiri</t>
        </is>
      </c>
      <c r="E72" t="inlineStr">
        <is>
          <t>A) Lebih Suka Kaedah Biasa &amp; Ambil Sendiri</t>
        </is>
      </c>
      <c r="F72" t="inlineStr">
        <is>
          <t>LAIN - LAIN (SILA NYATAKAN)</t>
        </is>
      </c>
      <c r="G72" t="inlineStr">
        <is>
          <t>Hepatology</t>
        </is>
      </c>
      <c r="H72" t="inlineStr">
        <is>
          <t>Lebih selesa dengan kaedah biasa di kaunter</t>
        </is>
      </c>
      <c r="M72" t="inlineStr">
        <is>
          <t>61 - 70</t>
        </is>
      </c>
    </row>
    <row r="73">
      <c r="A73" s="19" t="n">
        <v>46244.46722298611</v>
      </c>
      <c r="B73" t="inlineStr">
        <is>
          <t>SD01359044</t>
        </is>
      </c>
      <c r="D73" t="inlineStr">
        <is>
          <t>Waris</t>
        </is>
      </c>
      <c r="E73" t="inlineStr">
        <is>
          <t>A) Lebih Suka Kaedah Biasa &amp; Ambil Sendiri</t>
        </is>
      </c>
      <c r="F73" t="inlineStr">
        <is>
          <t>Rehabilitasi</t>
        </is>
      </c>
      <c r="H73" t="inlineStr">
        <is>
          <t>Kekerapan temujanji hospital (banyak TCA hampir setiap bulan)</t>
        </is>
      </c>
      <c r="M73" t="inlineStr">
        <is>
          <t>51 - 60</t>
        </is>
      </c>
    </row>
    <row r="74">
      <c r="A74" s="19" t="n">
        <v>46244.48155993056</v>
      </c>
      <c r="B74" t="inlineStr">
        <is>
          <t>SD00036605</t>
        </is>
      </c>
      <c r="D74" t="inlineStr">
        <is>
          <t>Waris</t>
        </is>
      </c>
      <c r="E74" t="inlineStr">
        <is>
          <t>A) Lebih Suka Kaedah Biasa &amp; Ambil Sendiri</t>
        </is>
      </c>
      <c r="F74" t="inlineStr">
        <is>
          <t>Nefrologi</t>
        </is>
      </c>
      <c r="H74" t="inlineStr">
        <is>
          <t>Kekerapan temujanji hospital (banyak TCA hampir setiap bulan)</t>
        </is>
      </c>
      <c r="M74" t="inlineStr">
        <is>
          <t>51 - 60</t>
        </is>
      </c>
    </row>
    <row r="75">
      <c r="A75" s="19" t="n">
        <v>46245.48145152778</v>
      </c>
      <c r="B75" t="inlineStr">
        <is>
          <t>SD00246730</t>
        </is>
      </c>
      <c r="D75" t="inlineStr">
        <is>
          <t>Pesakit sendiri</t>
        </is>
      </c>
      <c r="E75" t="inlineStr">
        <is>
          <t>A) Lebih Suka Kaedah Biasa &amp; Ambil Sendiri</t>
        </is>
      </c>
      <c r="F75" t="inlineStr">
        <is>
          <t>Perubatan (Semua)</t>
        </is>
      </c>
      <c r="G75" t="inlineStr">
        <is>
          <t>ID</t>
        </is>
      </c>
      <c r="H75" t="inlineStr">
        <is>
          <t>Kurang motivasi diri atau enggan mencuba sistem baharu</t>
        </is>
      </c>
      <c r="M75" t="inlineStr">
        <is>
          <t>51 - 60</t>
        </is>
      </c>
    </row>
    <row r="76">
      <c r="A76" s="19" t="n">
        <v>46245.48215574074</v>
      </c>
      <c r="B76" t="inlineStr">
        <is>
          <t>SD01166074</t>
        </is>
      </c>
      <c r="D76" t="inlineStr">
        <is>
          <t>Pesakit sendiri</t>
        </is>
      </c>
      <c r="E76" t="inlineStr">
        <is>
          <t>A) Lebih Suka Kaedah Biasa &amp; Ambil Sendiri</t>
        </is>
      </c>
      <c r="F76" t="inlineStr">
        <is>
          <t>Perubatan (Semua)</t>
        </is>
      </c>
      <c r="G76" t="inlineStr">
        <is>
          <t>MOPD</t>
        </is>
      </c>
      <c r="H76" t="inlineStr">
        <is>
          <t>Kurang motivasi diri atau enggan mencuba sistem baharu</t>
        </is>
      </c>
    </row>
    <row r="77">
      <c r="A77" s="19" t="n">
        <v>46245.48300063657</v>
      </c>
      <c r="B77" t="inlineStr">
        <is>
          <t>SD01432339</t>
        </is>
      </c>
      <c r="D77" t="inlineStr">
        <is>
          <t>Waris</t>
        </is>
      </c>
      <c r="E77" t="inlineStr">
        <is>
          <t>A) Lebih Suka Kaedah Biasa &amp; Ambil Sendiri</t>
        </is>
      </c>
      <c r="F77" t="inlineStr">
        <is>
          <t>Orthopedic</t>
        </is>
      </c>
      <c r="H77" t="inlineStr">
        <is>
          <t>Lebih selesa dengan kaedah biasa di kaunter</t>
        </is>
      </c>
      <c r="M77" t="inlineStr">
        <is>
          <t>81 - 90</t>
        </is>
      </c>
    </row>
    <row r="78">
      <c r="A78" s="19" t="n">
        <v>46245.48945304398</v>
      </c>
      <c r="B78" t="inlineStr">
        <is>
          <t>SD01293551</t>
        </is>
      </c>
      <c r="D78" t="inlineStr">
        <is>
          <t>Pesakit sendiri</t>
        </is>
      </c>
      <c r="E78" t="inlineStr">
        <is>
          <t>A) Lebih Suka Kaedah Biasa &amp; Ambil Sendiri</t>
        </is>
      </c>
      <c r="F78" t="inlineStr">
        <is>
          <t>Nefrologi</t>
        </is>
      </c>
      <c r="H78" t="inlineStr">
        <is>
          <t>Kurang motivasi diri atau enggan mencuba sistem baharu</t>
        </is>
      </c>
      <c r="M78" t="inlineStr">
        <is>
          <t>51 - 60</t>
        </is>
      </c>
    </row>
    <row r="79">
      <c r="A79" s="19" t="n">
        <v>46246.51347167824</v>
      </c>
      <c r="B79" t="inlineStr">
        <is>
          <t>SD00347932</t>
        </is>
      </c>
      <c r="D79" t="inlineStr">
        <is>
          <t>Waris</t>
        </is>
      </c>
      <c r="E79" t="inlineStr">
        <is>
          <t>A) Lebih Suka Kaedah Biasa &amp; Ambil Sendiri</t>
        </is>
      </c>
      <c r="F79" t="inlineStr">
        <is>
          <t>O&amp;G</t>
        </is>
      </c>
      <c r="H79" t="inlineStr">
        <is>
          <t>Kurang motivasi diri atau enggan mencuba sistem baharu</t>
        </is>
      </c>
      <c r="M79" t="inlineStr">
        <is>
          <t>41 - 50</t>
        </is>
      </c>
    </row>
    <row r="80">
      <c r="A80" s="19" t="n">
        <v>46246.51414237268</v>
      </c>
      <c r="B80" t="inlineStr">
        <is>
          <t>SD01173033</t>
        </is>
      </c>
      <c r="D80" t="inlineStr">
        <is>
          <t>Pesakit sendiri</t>
        </is>
      </c>
      <c r="E80" t="inlineStr">
        <is>
          <t>A) Lebih Suka Kaedah Biasa &amp; Ambil Sendiri</t>
        </is>
      </c>
      <c r="F80" t="inlineStr">
        <is>
          <t>Perubatan (Semua)</t>
        </is>
      </c>
      <c r="H80" t="inlineStr">
        <is>
          <t>Kurang motivasi diri atau enggan mencuba sistem baharu</t>
        </is>
      </c>
      <c r="M80" t="inlineStr">
        <is>
          <t>61 - 70</t>
        </is>
      </c>
    </row>
    <row r="81">
      <c r="A81" s="19" t="n">
        <v>46246.51627918982</v>
      </c>
      <c r="B81" t="inlineStr">
        <is>
          <t>SD00090457</t>
        </is>
      </c>
      <c r="D81" t="inlineStr">
        <is>
          <t>Waris</t>
        </is>
      </c>
      <c r="E81" t="inlineStr">
        <is>
          <t>A) Lebih Suka Kaedah Biasa &amp; Ambil Sendiri</t>
        </is>
      </c>
      <c r="F81" t="inlineStr">
        <is>
          <t>Perubatan (Semua)</t>
        </is>
      </c>
      <c r="G81" t="inlineStr">
        <is>
          <t>ENDOCRINE</t>
        </is>
      </c>
      <c r="H81" t="inlineStr">
        <is>
          <t>Pesakit tinggal berdekatan</t>
        </is>
      </c>
      <c r="M81" t="inlineStr">
        <is>
          <t>51 - 60</t>
        </is>
      </c>
    </row>
    <row r="82">
      <c r="A82" s="19" t="n">
        <v>46246.5366747338</v>
      </c>
      <c r="B82" t="inlineStr">
        <is>
          <t>-</t>
        </is>
      </c>
      <c r="D82" t="inlineStr">
        <is>
          <t>Pesakit sendiri</t>
        </is>
      </c>
      <c r="E82" t="inlineStr">
        <is>
          <t>E) Halangan Teknologi &amp; Celik Digital</t>
        </is>
      </c>
      <c r="F82" t="inlineStr">
        <is>
          <t>O&amp;G</t>
        </is>
      </c>
      <c r="L82" t="inlineStr">
        <is>
          <t>Kesusahan menguasai penggunaan telefon pintar dan apps (eg. golongan OKU, orang tua)</t>
        </is>
      </c>
    </row>
    <row r="83">
      <c r="A83" s="19" t="n">
        <v>46247.3851909375</v>
      </c>
      <c r="B83" t="inlineStr">
        <is>
          <t>SD00064948</t>
        </is>
      </c>
      <c r="D83" t="inlineStr">
        <is>
          <t>Pesakit sendiri</t>
        </is>
      </c>
      <c r="E83" t="inlineStr">
        <is>
          <t>A) Lebih Suka Kaedah Biasa &amp; Ambil Sendiri</t>
        </is>
      </c>
      <c r="F83" t="inlineStr">
        <is>
          <t>Orthopedic</t>
        </is>
      </c>
      <c r="H83" t="inlineStr">
        <is>
          <t>Lebih selesa dengan kaedah biasa di kaunter, Kurang motivasi diri atau enggan mencuba sistem baharu</t>
        </is>
      </c>
      <c r="M83" t="inlineStr">
        <is>
          <t>51 - 60</t>
        </is>
      </c>
    </row>
    <row r="84">
      <c r="A84" s="19" t="n">
        <v>46247.43510043981</v>
      </c>
      <c r="B84" t="inlineStr">
        <is>
          <t>SD00952281</t>
        </is>
      </c>
      <c r="D84" t="inlineStr">
        <is>
          <t>Pesakit sendiri</t>
        </is>
      </c>
      <c r="E84" t="inlineStr">
        <is>
          <t>A) Lebih Suka Kaedah Biasa &amp; Ambil Sendiri</t>
        </is>
      </c>
      <c r="F84" t="inlineStr">
        <is>
          <t>Psikiatri</t>
        </is>
      </c>
      <c r="H84" t="inlineStr">
        <is>
          <t>Kurang motivasi diri atau enggan mencuba sistem baharu</t>
        </is>
      </c>
      <c r="M84" t="inlineStr">
        <is>
          <t>51 - 60</t>
        </is>
      </c>
    </row>
    <row r="85">
      <c r="A85" s="19" t="n">
        <v>46247.66334423611</v>
      </c>
      <c r="B85" t="inlineStr">
        <is>
          <t>SD00120410</t>
        </is>
      </c>
      <c r="D85" t="inlineStr">
        <is>
          <t>Pesakit sendiri</t>
        </is>
      </c>
      <c r="E85" t="inlineStr">
        <is>
          <t>A) Lebih Suka Kaedah Biasa &amp; Ambil Sendiri</t>
        </is>
      </c>
      <c r="F85" t="inlineStr">
        <is>
          <t>Orthopedic</t>
        </is>
      </c>
      <c r="H85" t="inlineStr">
        <is>
          <t>Kekerapan temujanji hospital (banyak TCA hampir setiap bulan)</t>
        </is>
      </c>
      <c r="M85" t="inlineStr">
        <is>
          <t>51 - 60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78" customWidth="1" min="2" max="2"/>
  </cols>
  <sheetData>
    <row r="1">
      <c r="A1" s="11" t="inlineStr">
        <is>
          <t>Log Pembersihan Data — apa yang diubah dan mengapa</t>
        </is>
      </c>
    </row>
    <row r="3">
      <c r="A3" s="12" t="inlineStr">
        <is>
          <t>Langkah Pembersihan / Cleaning Step</t>
        </is>
      </c>
      <c r="B3" s="12" t="inlineStr">
        <is>
          <t>Butiran / Detail</t>
        </is>
      </c>
    </row>
    <row r="4">
      <c r="A4" s="13" t="inlineStr">
        <is>
          <t>Buang baris kosong sepenuhnya</t>
        </is>
      </c>
      <c r="B4" s="13" t="inlineStr">
        <is>
          <t>0 baris kosong dibuang; 84 rekod kekal</t>
        </is>
      </c>
    </row>
    <row r="5">
      <c r="A5" s="14" t="inlineStr">
        <is>
          <t>Buang lajur kosong sepenuhnya</t>
        </is>
      </c>
      <c r="B5" s="14" t="inlineStr">
        <is>
          <t>Nama Pesakit, Sebab Penolakan [Row 2], Sebab Penolakan [Row 3], Column 9, Nama Dispenser</t>
        </is>
      </c>
    </row>
    <row r="6">
      <c r="A6" s="13" t="inlineStr">
        <is>
          <t>Namakan semula lajur</t>
        </is>
      </c>
      <c r="B6" s="13" t="inlineStr">
        <is>
          <t>"Column 1" -&gt; "ID Pesakit (SD)"</t>
        </is>
      </c>
    </row>
    <row r="7">
      <c r="A7" s="14" t="inlineStr">
        <is>
          <t>Piawaikan ID pesakit</t>
        </is>
      </c>
      <c r="B7" s="14" t="inlineStr">
        <is>
          <t>Huruf besar, buang ruang kosong (cth. "Sd 000007" -&gt; "SD000007")</t>
        </is>
      </c>
    </row>
    <row r="8">
      <c r="A8" s="13" t="inlineStr">
        <is>
          <t>Semak ID berganda</t>
        </is>
      </c>
      <c r="B8" s="13" t="inlineStr">
        <is>
          <t>0 ID berulang dikesan</t>
        </is>
      </c>
    </row>
    <row r="9">
      <c r="A9" s="14" t="inlineStr">
        <is>
          <t>Piawaikan kategori sebab penolakan</t>
        </is>
      </c>
      <c r="B9" s="14" t="inlineStr">
        <is>
          <t>1 rekod tanpa prefiks ("Lebih Suka Kaedah Biasa...") dipadan ke kategori A; 1 rekod kosong dikekalkan sebagai "Tidak Dinyatakan"</t>
        </is>
      </c>
    </row>
    <row r="10">
      <c r="A10" s="13" t="inlineStr">
        <is>
          <t>Gabung 5 lajur sub-sebab</t>
        </is>
      </c>
      <c r="B10" s="13" t="inlineStr">
        <is>
          <t>Jawapan berbilang pilihan dipecah mengikut senarai pilihan sebenar borang (bukan pada koma), supaya pilihan yang mengandungi koma tidak terpotong</t>
        </is>
      </c>
    </row>
    <row r="11">
      <c r="A11" s="14" t="inlineStr">
        <is>
          <t>Semak liputan sub-sebab</t>
        </is>
      </c>
      <c r="B11" s="14" t="inlineStr">
        <is>
          <t>Setiap sub-sebab dipadankan dengan pilihan rasmi borang; teks luar senarai dikekalkan apa adanya</t>
        </is>
      </c>
    </row>
    <row r="12">
      <c r="A12" s="13" t="inlineStr">
        <is>
          <t>Piawaikan nama jabatan</t>
        </is>
      </c>
      <c r="B12" s="13" t="inlineStr">
        <is>
          <t>Ejaan bebas disatukan (Opthal/OPTHAL/Ophthalmology/oftamologi -&gt; Oftalmologi; Dermatology -&gt; Dermatologi; Hemato -&gt; Hematologi; ENDOCRINE -&gt; Endokrin; MOPD/medical -&gt; Perubatan (Semua)); teks bukan jabatan ditandakan</t>
        </is>
      </c>
    </row>
    <row r="13">
      <c r="A13" s="14" t="inlineStr">
        <is>
          <t>Kesan teks salah letak</t>
        </is>
      </c>
      <c r="B13" s="14" t="inlineStr">
        <is>
          <t>1 rekod: sebab penolakan ditaip dalam ruangan jabatan</t>
        </is>
      </c>
    </row>
    <row r="14">
      <c r="A14" s="13" t="inlineStr">
        <is>
          <t>Piawaikan umur</t>
        </is>
      </c>
      <c r="B14" s="13" t="inlineStr">
        <is>
          <t>5 rekod tanpa umur ditanda "Tidak Direkod"; bendera warga emas (&gt;=60 tahun) ditambah</t>
        </is>
      </c>
    </row>
    <row r="15">
      <c r="A15" s="14" t="inlineStr">
        <is>
          <t>Bendera nilai umur meragukan</t>
        </is>
      </c>
      <c r="B15" s="14" t="inlineStr">
        <is>
          <t>2 rekod berumur "0 - 10" — kemungkinan tersalah pilih julat umur; dikekalkan tanpa diubah tetapi perlu disahkan semula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2026-08-13T15:54:42Z</dcterms:created>
  <dcterms:modified xsi:type="dcterms:W3CDTF">2026-08-13T15:54:42Z</dcterms:modified>
</cp:coreProperties>
</file>